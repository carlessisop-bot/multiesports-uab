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527" codeName="{82680DD9-3F13-7979-5B5F-3D2375947C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uab-my.sharepoint.com/personal/1102230_uab_cat/Documents/SAF/2627/INTRACAMPUS 2627/Gestio_MultiEsports/"/>
    </mc:Choice>
  </mc:AlternateContent>
  <xr:revisionPtr revIDLastSave="5960" documentId="8_{E853179D-D748-426A-9F74-3BB3AC187487}" xr6:coauthVersionLast="47" xr6:coauthVersionMax="47" xr10:uidLastSave="{952CCA35-8F88-4771-971B-897B18F1F969}"/>
  <bookViews>
    <workbookView xWindow="-120" yWindow="-120" windowWidth="38640" windowHeight="15720" firstSheet="3" activeTab="7" xr2:uid="{00000000-000D-0000-FFFF-FFFF00000000}"/>
  </bookViews>
  <sheets>
    <sheet name="Individuals" sheetId="1" r:id="rId1"/>
    <sheet name="Petició equips" sheetId="2" r:id="rId2"/>
    <sheet name="Sol·licitud individual" sheetId="3" r:id="rId3"/>
    <sheet name="Hoja1" sheetId="4" r:id="rId4"/>
    <sheet name="Consolidat" sheetId="5" r:id="rId5"/>
    <sheet name="Assistencies" sheetId="6" r:id="rId6"/>
    <sheet name="Equips" sheetId="7" r:id="rId7"/>
    <sheet name="Calendari" sheetId="8" r:id="rId8"/>
    <sheet name="FairPlay" sheetId="9" r:id="rId9"/>
    <sheet name="Golejadors" sheetId="10" r:id="rId10"/>
    <sheet name="Classificacio" sheetId="11" r:id="rId11"/>
    <sheet name="ResumCorreus" sheetId="12" r:id="rId12"/>
    <sheet name="Instruccions_VBA" sheetId="13" r:id="rId13"/>
    <sheet name="Festius" sheetId="14" r:id="rId14"/>
  </sheets>
  <functionGroups builtInGroupCount="19"/>
  <definedNames>
    <definedName name="DatosExternos_1" localSheetId="0" hidden="1">Individuals!$A$1:$G$29</definedName>
    <definedName name="DatosExternos_1" localSheetId="1" hidden="1">'Petició equips'!$A$1:$E$56</definedName>
    <definedName name="DatosExternos_2" localSheetId="2" hidden="1">'Sol·licitud individual'!$A$1:$H$295</definedName>
  </definedNames>
  <calcPr calcId="191029"/>
  <pivotCaches>
    <pivotCache cacheId="0" r:id="rId15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2" i="5" l="1"/>
  <c r="K3" i="5"/>
  <c r="K4" i="5"/>
  <c r="K5" i="5"/>
  <c r="K6" i="5"/>
  <c r="K7" i="5"/>
  <c r="K8" i="5"/>
  <c r="K9" i="5"/>
  <c r="K10" i="5"/>
  <c r="K11" i="5"/>
  <c r="K12" i="5"/>
  <c r="K13" i="5"/>
  <c r="K14" i="5"/>
  <c r="K15" i="5"/>
  <c r="K16" i="5"/>
  <c r="K17" i="5"/>
  <c r="K18" i="5"/>
  <c r="K19" i="5"/>
  <c r="K20" i="5"/>
  <c r="K21" i="5"/>
  <c r="K22" i="5"/>
  <c r="K23" i="5"/>
  <c r="K24" i="5"/>
  <c r="K25" i="5"/>
  <c r="K26" i="5"/>
  <c r="K27" i="5"/>
  <c r="K28" i="5"/>
  <c r="K29" i="5"/>
  <c r="K30" i="5"/>
  <c r="K31" i="5"/>
  <c r="K32" i="5"/>
  <c r="K33" i="5"/>
  <c r="K34" i="5"/>
  <c r="K35" i="5"/>
  <c r="K36" i="5"/>
  <c r="K37" i="5"/>
  <c r="K38" i="5"/>
  <c r="K39" i="5"/>
  <c r="K40" i="5"/>
  <c r="K41" i="5"/>
  <c r="K42" i="5"/>
  <c r="K43" i="5"/>
  <c r="K44" i="5"/>
  <c r="K45" i="5"/>
  <c r="K46" i="5"/>
  <c r="K47" i="5"/>
  <c r="K48" i="5"/>
  <c r="K49" i="5"/>
  <c r="K50" i="5"/>
  <c r="K51" i="5"/>
  <c r="K52" i="5"/>
  <c r="K53" i="5"/>
  <c r="K54" i="5"/>
  <c r="K55" i="5"/>
  <c r="K56" i="5"/>
  <c r="K57" i="5"/>
  <c r="K58" i="5"/>
  <c r="K59" i="5"/>
  <c r="K60" i="5"/>
  <c r="K61" i="5"/>
  <c r="K62" i="5"/>
  <c r="K63" i="5"/>
  <c r="K64" i="5"/>
  <c r="K65" i="5"/>
  <c r="K66" i="5"/>
  <c r="K67" i="5"/>
  <c r="K68" i="5"/>
  <c r="K69" i="5"/>
  <c r="K70" i="5"/>
  <c r="K71" i="5"/>
  <c r="K72" i="5"/>
  <c r="K73" i="5"/>
  <c r="K74" i="5"/>
  <c r="K75" i="5"/>
  <c r="K76" i="5"/>
  <c r="K77" i="5"/>
  <c r="K78" i="5"/>
  <c r="K79" i="5"/>
  <c r="K80" i="5"/>
  <c r="K81" i="5"/>
  <c r="K82" i="5"/>
  <c r="K83" i="5"/>
  <c r="K84" i="5"/>
  <c r="K85" i="5"/>
  <c r="K86" i="5"/>
  <c r="K87" i="5"/>
  <c r="K88" i="5"/>
  <c r="K89" i="5"/>
  <c r="K90" i="5"/>
  <c r="K91" i="5"/>
  <c r="K92" i="5"/>
  <c r="K93" i="5"/>
  <c r="K94" i="5"/>
  <c r="K95" i="5"/>
  <c r="K96" i="5"/>
  <c r="K97" i="5"/>
  <c r="K98" i="5"/>
  <c r="K99" i="5"/>
  <c r="K100" i="5"/>
  <c r="K101" i="5"/>
  <c r="K102" i="5"/>
  <c r="K103" i="5"/>
  <c r="K104" i="5"/>
  <c r="K105" i="5"/>
  <c r="K106" i="5"/>
  <c r="K107" i="5"/>
  <c r="K108" i="5"/>
  <c r="K109" i="5"/>
  <c r="K110" i="5"/>
  <c r="K111" i="5"/>
  <c r="K112" i="5"/>
  <c r="K113" i="5"/>
  <c r="K114" i="5"/>
  <c r="K115" i="5"/>
  <c r="K116" i="5"/>
  <c r="K117" i="5"/>
  <c r="K118" i="5"/>
  <c r="K119" i="5"/>
  <c r="K120" i="5"/>
  <c r="K121" i="5"/>
  <c r="K122" i="5"/>
  <c r="K123" i="5"/>
  <c r="K124" i="5"/>
  <c r="K125" i="5"/>
  <c r="K126" i="5"/>
  <c r="K127" i="5"/>
  <c r="K128" i="5"/>
  <c r="K129" i="5"/>
  <c r="K130" i="5"/>
  <c r="K131" i="5"/>
  <c r="K132" i="5"/>
  <c r="K133" i="5"/>
  <c r="K134" i="5"/>
  <c r="K135" i="5"/>
  <c r="K136" i="5"/>
  <c r="K137" i="5"/>
  <c r="K138" i="5"/>
  <c r="K139" i="5"/>
  <c r="K140" i="5"/>
  <c r="K141" i="5"/>
  <c r="K142" i="5"/>
  <c r="K143" i="5"/>
  <c r="K144" i="5"/>
  <c r="K145" i="5"/>
  <c r="K146" i="5"/>
  <c r="K147" i="5"/>
  <c r="K148" i="5"/>
  <c r="K149" i="5"/>
  <c r="K150" i="5"/>
  <c r="K151" i="5"/>
  <c r="K152" i="5"/>
  <c r="K153" i="5"/>
  <c r="K154" i="5"/>
  <c r="K155" i="5"/>
  <c r="K156" i="5"/>
  <c r="K157" i="5"/>
  <c r="K158" i="5"/>
  <c r="K159" i="5"/>
  <c r="K160" i="5"/>
  <c r="K161" i="5"/>
  <c r="K162" i="5"/>
  <c r="K163" i="5"/>
  <c r="K164" i="5"/>
  <c r="K165" i="5"/>
  <c r="K166" i="5"/>
  <c r="K167" i="5"/>
  <c r="K168" i="5"/>
  <c r="K169" i="5"/>
  <c r="K170" i="5"/>
  <c r="K171" i="5"/>
  <c r="K172" i="5"/>
  <c r="K173" i="5"/>
  <c r="K174" i="5"/>
  <c r="K175" i="5"/>
  <c r="K176" i="5"/>
  <c r="K177" i="5"/>
  <c r="K178" i="5"/>
  <c r="K179" i="5"/>
  <c r="K180" i="5"/>
  <c r="K181" i="5"/>
  <c r="K182" i="5"/>
  <c r="K183" i="5"/>
  <c r="K184" i="5"/>
  <c r="K185" i="5"/>
  <c r="K186" i="5"/>
  <c r="K187" i="5"/>
  <c r="K188" i="5"/>
  <c r="K189" i="5"/>
  <c r="K190" i="5"/>
  <c r="K191" i="5"/>
  <c r="K192" i="5"/>
  <c r="K193" i="5"/>
  <c r="K194" i="5"/>
  <c r="K195" i="5"/>
  <c r="K196" i="5"/>
  <c r="K197" i="5"/>
  <c r="K198" i="5"/>
  <c r="K199" i="5"/>
  <c r="K200" i="5"/>
  <c r="K201" i="5"/>
  <c r="K202" i="5"/>
  <c r="K203" i="5"/>
  <c r="K204" i="5"/>
  <c r="K205" i="5"/>
  <c r="K206" i="5"/>
  <c r="K207" i="5"/>
  <c r="K208" i="5"/>
  <c r="K209" i="5"/>
  <c r="K210" i="5"/>
  <c r="K211" i="5"/>
  <c r="K212" i="5"/>
  <c r="K213" i="5"/>
  <c r="K214" i="5"/>
  <c r="K215" i="5"/>
  <c r="K216" i="5"/>
  <c r="K217" i="5"/>
  <c r="K218" i="5"/>
  <c r="K219" i="5"/>
  <c r="K220" i="5"/>
  <c r="K221" i="5"/>
  <c r="K222" i="5"/>
  <c r="K223" i="5"/>
  <c r="K224" i="5"/>
  <c r="K225" i="5"/>
  <c r="K226" i="5"/>
  <c r="K227" i="5"/>
  <c r="K228" i="5"/>
  <c r="K229" i="5"/>
  <c r="K230" i="5"/>
  <c r="K231" i="5"/>
  <c r="K232" i="5"/>
  <c r="K233" i="5"/>
  <c r="K234" i="5"/>
  <c r="K235" i="5"/>
  <c r="K236" i="5"/>
  <c r="K237" i="5"/>
  <c r="K238" i="5"/>
  <c r="K239" i="5"/>
  <c r="K240" i="5"/>
  <c r="K241" i="5"/>
  <c r="K242" i="5"/>
  <c r="K243" i="5"/>
  <c r="K244" i="5"/>
  <c r="K245" i="5"/>
  <c r="K246" i="5"/>
  <c r="K247" i="5"/>
  <c r="K248" i="5"/>
  <c r="K249" i="5"/>
  <c r="K250" i="5"/>
  <c r="K251" i="5"/>
  <c r="K252" i="5"/>
  <c r="K253" i="5"/>
  <c r="K254" i="5"/>
  <c r="K255" i="5"/>
  <c r="K256" i="5"/>
  <c r="K257" i="5"/>
  <c r="K258" i="5"/>
  <c r="K259" i="5"/>
  <c r="K260" i="5"/>
  <c r="K261" i="5"/>
  <c r="K262" i="5"/>
  <c r="K263" i="5"/>
  <c r="K264" i="5"/>
  <c r="K265" i="5"/>
  <c r="K266" i="5"/>
  <c r="K267" i="5"/>
  <c r="K268" i="5"/>
  <c r="K269" i="5"/>
  <c r="K270" i="5"/>
  <c r="K271" i="5"/>
  <c r="K272" i="5"/>
  <c r="K273" i="5"/>
  <c r="K274" i="5"/>
  <c r="K275" i="5"/>
  <c r="K276" i="5"/>
  <c r="K277" i="5"/>
  <c r="K278" i="5"/>
  <c r="K279" i="5"/>
  <c r="K280" i="5"/>
  <c r="K281" i="5"/>
  <c r="K282" i="5"/>
  <c r="K283" i="5"/>
  <c r="K284" i="5"/>
  <c r="K285" i="5"/>
  <c r="K286" i="5"/>
  <c r="K287" i="5"/>
  <c r="K288" i="5"/>
  <c r="K289" i="5"/>
  <c r="K290" i="5"/>
  <c r="K291" i="5"/>
  <c r="K292" i="5"/>
  <c r="K293" i="5"/>
  <c r="K294" i="5"/>
  <c r="K295" i="5"/>
  <c r="K296" i="5"/>
  <c r="K297" i="5"/>
  <c r="K298" i="5"/>
  <c r="K299" i="5"/>
  <c r="K300" i="5"/>
  <c r="K301" i="5"/>
  <c r="K302" i="5"/>
  <c r="K303" i="5"/>
  <c r="K304" i="5"/>
  <c r="K305" i="5"/>
  <c r="K306" i="5"/>
  <c r="K307" i="5"/>
  <c r="K308" i="5"/>
  <c r="K309" i="5"/>
  <c r="K310" i="5"/>
  <c r="K311" i="5"/>
  <c r="K312" i="5"/>
  <c r="K313" i="5"/>
  <c r="K314" i="5"/>
  <c r="K315" i="5"/>
  <c r="K316" i="5"/>
  <c r="K317" i="5"/>
  <c r="K318" i="5"/>
  <c r="K319" i="5"/>
  <c r="K320" i="5"/>
  <c r="K321" i="5"/>
  <c r="K322" i="5"/>
  <c r="K323" i="5"/>
  <c r="K324" i="5"/>
  <c r="K325" i="5"/>
  <c r="I2" i="5"/>
  <c r="I3" i="5"/>
  <c r="I4" i="5"/>
  <c r="I5" i="5"/>
  <c r="I6" i="5"/>
  <c r="I7" i="5"/>
  <c r="I8" i="5"/>
  <c r="I9" i="5"/>
  <c r="I10" i="5"/>
  <c r="I11" i="5"/>
  <c r="I12" i="5"/>
  <c r="I13" i="5"/>
  <c r="I14" i="5"/>
  <c r="I15" i="5"/>
  <c r="I16" i="5"/>
  <c r="I17" i="5"/>
  <c r="I18" i="5"/>
  <c r="I19" i="5"/>
  <c r="I20" i="5"/>
  <c r="I21" i="5"/>
  <c r="I22" i="5"/>
  <c r="I23" i="5"/>
  <c r="I24" i="5"/>
  <c r="I25" i="5"/>
  <c r="I26" i="5"/>
  <c r="I27" i="5"/>
  <c r="I28" i="5"/>
  <c r="I29" i="5"/>
  <c r="I30" i="5"/>
  <c r="I31" i="5"/>
  <c r="I32" i="5"/>
  <c r="I33" i="5"/>
  <c r="I34" i="5"/>
  <c r="I35" i="5"/>
  <c r="I36" i="5"/>
  <c r="I37" i="5"/>
  <c r="I38" i="5"/>
  <c r="I39" i="5"/>
  <c r="I40" i="5"/>
  <c r="I41" i="5"/>
  <c r="I42" i="5"/>
  <c r="I43" i="5"/>
  <c r="I44" i="5"/>
  <c r="I45" i="5"/>
  <c r="I46" i="5"/>
  <c r="I47" i="5"/>
  <c r="I48" i="5"/>
  <c r="I49" i="5"/>
  <c r="I50" i="5"/>
  <c r="I51" i="5"/>
  <c r="I52" i="5"/>
  <c r="I53" i="5"/>
  <c r="I54" i="5"/>
  <c r="I55" i="5"/>
  <c r="I56" i="5"/>
  <c r="I57" i="5"/>
  <c r="I58" i="5"/>
  <c r="I59" i="5"/>
  <c r="I60" i="5"/>
  <c r="I61" i="5"/>
  <c r="I62" i="5"/>
  <c r="I63" i="5"/>
  <c r="I64" i="5"/>
  <c r="I65" i="5"/>
  <c r="I66" i="5"/>
  <c r="I67" i="5"/>
  <c r="I68" i="5"/>
  <c r="I69" i="5"/>
  <c r="I70" i="5"/>
  <c r="I71" i="5"/>
  <c r="I72" i="5"/>
  <c r="I73" i="5"/>
  <c r="I74" i="5"/>
  <c r="I75" i="5"/>
  <c r="I76" i="5"/>
  <c r="I77" i="5"/>
  <c r="I78" i="5"/>
  <c r="I79" i="5"/>
  <c r="I80" i="5"/>
  <c r="I81" i="5"/>
  <c r="I82" i="5"/>
  <c r="I83" i="5"/>
  <c r="I84" i="5"/>
  <c r="I85" i="5"/>
  <c r="I86" i="5"/>
  <c r="I87" i="5"/>
  <c r="I88" i="5"/>
  <c r="I89" i="5"/>
  <c r="I90" i="5"/>
  <c r="I91" i="5"/>
  <c r="I92" i="5"/>
  <c r="I93" i="5"/>
  <c r="I94" i="5"/>
  <c r="I95" i="5"/>
  <c r="I96" i="5"/>
  <c r="I97" i="5"/>
  <c r="I98" i="5"/>
  <c r="I99" i="5"/>
  <c r="I100" i="5"/>
  <c r="I101" i="5"/>
  <c r="I102" i="5"/>
  <c r="I103" i="5"/>
  <c r="I104" i="5"/>
  <c r="I105" i="5"/>
  <c r="I106" i="5"/>
  <c r="I107" i="5"/>
  <c r="I108" i="5"/>
  <c r="I109" i="5"/>
  <c r="I110" i="5"/>
  <c r="I111" i="5"/>
  <c r="I112" i="5"/>
  <c r="I113" i="5"/>
  <c r="I114" i="5"/>
  <c r="I115" i="5"/>
  <c r="I116" i="5"/>
  <c r="I117" i="5"/>
  <c r="I118" i="5"/>
  <c r="I119" i="5"/>
  <c r="I120" i="5"/>
  <c r="I121" i="5"/>
  <c r="I122" i="5"/>
  <c r="I123" i="5"/>
  <c r="I124" i="5"/>
  <c r="I125" i="5"/>
  <c r="I126" i="5"/>
  <c r="I127" i="5"/>
  <c r="I128" i="5"/>
  <c r="I129" i="5"/>
  <c r="I130" i="5"/>
  <c r="I131" i="5"/>
  <c r="I132" i="5"/>
  <c r="I133" i="5"/>
  <c r="I134" i="5"/>
  <c r="I135" i="5"/>
  <c r="I136" i="5"/>
  <c r="I137" i="5"/>
  <c r="I138" i="5"/>
  <c r="I139" i="5"/>
  <c r="I140" i="5"/>
  <c r="I141" i="5"/>
  <c r="I142" i="5"/>
  <c r="I143" i="5"/>
  <c r="I144" i="5"/>
  <c r="I145" i="5"/>
  <c r="I146" i="5"/>
  <c r="I147" i="5"/>
  <c r="I148" i="5"/>
  <c r="I149" i="5"/>
  <c r="I150" i="5"/>
  <c r="I151" i="5"/>
  <c r="I152" i="5"/>
  <c r="I153" i="5"/>
  <c r="I154" i="5"/>
  <c r="I155" i="5"/>
  <c r="I156" i="5"/>
  <c r="I157" i="5"/>
  <c r="I158" i="5"/>
  <c r="I159" i="5"/>
  <c r="I160" i="5"/>
  <c r="I161" i="5"/>
  <c r="I162" i="5"/>
  <c r="I163" i="5"/>
  <c r="I164" i="5"/>
  <c r="I165" i="5"/>
  <c r="I166" i="5"/>
  <c r="I167" i="5"/>
  <c r="I168" i="5"/>
  <c r="I169" i="5"/>
  <c r="I170" i="5"/>
  <c r="I171" i="5"/>
  <c r="I172" i="5"/>
  <c r="I173" i="5"/>
  <c r="I174" i="5"/>
  <c r="I175" i="5"/>
  <c r="I176" i="5"/>
  <c r="I177" i="5"/>
  <c r="I178" i="5"/>
  <c r="I179" i="5"/>
  <c r="I180" i="5"/>
  <c r="I181" i="5"/>
  <c r="I182" i="5"/>
  <c r="I183" i="5"/>
  <c r="I184" i="5"/>
  <c r="I185" i="5"/>
  <c r="I186" i="5"/>
  <c r="I187" i="5"/>
  <c r="I188" i="5"/>
  <c r="I189" i="5"/>
  <c r="I190" i="5"/>
  <c r="I191" i="5"/>
  <c r="I192" i="5"/>
  <c r="I193" i="5"/>
  <c r="I194" i="5"/>
  <c r="I195" i="5"/>
  <c r="I196" i="5"/>
  <c r="I197" i="5"/>
  <c r="I198" i="5"/>
  <c r="I199" i="5"/>
  <c r="I200" i="5"/>
  <c r="I201" i="5"/>
  <c r="I202" i="5"/>
  <c r="I203" i="5"/>
  <c r="I204" i="5"/>
  <c r="I205" i="5"/>
  <c r="I206" i="5"/>
  <c r="I207" i="5"/>
  <c r="I208" i="5"/>
  <c r="I209" i="5"/>
  <c r="I210" i="5"/>
  <c r="I211" i="5"/>
  <c r="I212" i="5"/>
  <c r="I213" i="5"/>
  <c r="I214" i="5"/>
  <c r="I215" i="5"/>
  <c r="I216" i="5"/>
  <c r="I217" i="5"/>
  <c r="I218" i="5"/>
  <c r="I219" i="5"/>
  <c r="I220" i="5"/>
  <c r="I221" i="5"/>
  <c r="I222" i="5"/>
  <c r="I223" i="5"/>
  <c r="I224" i="5"/>
  <c r="I225" i="5"/>
  <c r="I226" i="5"/>
  <c r="I227" i="5"/>
  <c r="I228" i="5"/>
  <c r="I229" i="5"/>
  <c r="I230" i="5"/>
  <c r="I231" i="5"/>
  <c r="I232" i="5"/>
  <c r="I233" i="5"/>
  <c r="I234" i="5"/>
  <c r="I235" i="5"/>
  <c r="I236" i="5"/>
  <c r="I237" i="5"/>
  <c r="I238" i="5"/>
  <c r="I239" i="5"/>
  <c r="I240" i="5"/>
  <c r="I241" i="5"/>
  <c r="I242" i="5"/>
  <c r="I243" i="5"/>
  <c r="I244" i="5"/>
  <c r="I245" i="5"/>
  <c r="I246" i="5"/>
  <c r="I247" i="5"/>
  <c r="I248" i="5"/>
  <c r="I249" i="5"/>
  <c r="I250" i="5"/>
  <c r="I251" i="5"/>
  <c r="I252" i="5"/>
  <c r="I253" i="5"/>
  <c r="I254" i="5"/>
  <c r="I255" i="5"/>
  <c r="I256" i="5"/>
  <c r="I257" i="5"/>
  <c r="I258" i="5"/>
  <c r="I259" i="5"/>
  <c r="I260" i="5"/>
  <c r="I261" i="5"/>
  <c r="I262" i="5"/>
  <c r="I263" i="5"/>
  <c r="I264" i="5"/>
  <c r="I265" i="5"/>
  <c r="I266" i="5"/>
  <c r="I267" i="5"/>
  <c r="I268" i="5"/>
  <c r="I269" i="5"/>
  <c r="I270" i="5"/>
  <c r="I271" i="5"/>
  <c r="I272" i="5"/>
  <c r="I273" i="5"/>
  <c r="I274" i="5"/>
  <c r="I275" i="5"/>
  <c r="I276" i="5"/>
  <c r="I277" i="5"/>
  <c r="I278" i="5"/>
  <c r="I279" i="5"/>
  <c r="I280" i="5"/>
  <c r="I281" i="5"/>
  <c r="I282" i="5"/>
  <c r="I283" i="5"/>
  <c r="I284" i="5"/>
  <c r="I285" i="5"/>
  <c r="I286" i="5"/>
  <c r="I287" i="5"/>
  <c r="I288" i="5"/>
  <c r="I289" i="5"/>
  <c r="I290" i="5"/>
  <c r="I291" i="5"/>
  <c r="I292" i="5"/>
  <c r="I293" i="5"/>
  <c r="I294" i="5"/>
  <c r="I295" i="5"/>
  <c r="I296" i="5"/>
  <c r="I297" i="5"/>
  <c r="I298" i="5"/>
  <c r="I299" i="5"/>
  <c r="I300" i="5"/>
  <c r="I301" i="5"/>
  <c r="I302" i="5"/>
  <c r="I303" i="5"/>
  <c r="I304" i="5"/>
  <c r="I305" i="5"/>
  <c r="I306" i="5"/>
  <c r="I307" i="5"/>
  <c r="I308" i="5"/>
  <c r="I309" i="5"/>
  <c r="I310" i="5"/>
  <c r="I311" i="5"/>
  <c r="I312" i="5"/>
  <c r="I313" i="5"/>
  <c r="I314" i="5"/>
  <c r="I315" i="5"/>
  <c r="I316" i="5"/>
  <c r="I317" i="5"/>
  <c r="I318" i="5"/>
  <c r="I319" i="5"/>
  <c r="I320" i="5"/>
  <c r="I321" i="5"/>
  <c r="I322" i="5"/>
  <c r="I323" i="5"/>
  <c r="I324" i="5"/>
  <c r="I325" i="5"/>
  <c r="H2" i="5"/>
  <c r="J2" i="5"/>
  <c r="J3" i="5"/>
  <c r="J4" i="5"/>
  <c r="J5" i="5"/>
  <c r="J6" i="5"/>
  <c r="J7" i="5"/>
  <c r="J8" i="5"/>
  <c r="J9" i="5"/>
  <c r="J10" i="5"/>
  <c r="J11" i="5"/>
  <c r="J12" i="5"/>
  <c r="J13" i="5"/>
  <c r="J14" i="5"/>
  <c r="J15" i="5"/>
  <c r="J16" i="5"/>
  <c r="J17" i="5"/>
  <c r="J18" i="5"/>
  <c r="J19" i="5"/>
  <c r="J20" i="5"/>
  <c r="J21" i="5"/>
  <c r="J22" i="5"/>
  <c r="J23" i="5"/>
  <c r="J24" i="5"/>
  <c r="J25" i="5"/>
  <c r="J26" i="5"/>
  <c r="J27" i="5"/>
  <c r="J28" i="5"/>
  <c r="J29" i="5"/>
  <c r="J30" i="5"/>
  <c r="J31" i="5"/>
  <c r="J32" i="5"/>
  <c r="J33" i="5"/>
  <c r="J34" i="5"/>
  <c r="J35" i="5"/>
  <c r="J36" i="5"/>
  <c r="J37" i="5"/>
  <c r="J38" i="5"/>
  <c r="J39" i="5"/>
  <c r="J40" i="5"/>
  <c r="J41" i="5"/>
  <c r="J42" i="5"/>
  <c r="J43" i="5"/>
  <c r="J44" i="5"/>
  <c r="J45" i="5"/>
  <c r="J46" i="5"/>
  <c r="J47" i="5"/>
  <c r="J48" i="5"/>
  <c r="J49" i="5"/>
  <c r="J50" i="5"/>
  <c r="J51" i="5"/>
  <c r="J52" i="5"/>
  <c r="J53" i="5"/>
  <c r="J54" i="5"/>
  <c r="J55" i="5"/>
  <c r="J56" i="5"/>
  <c r="J57" i="5"/>
  <c r="J58" i="5"/>
  <c r="J59" i="5"/>
  <c r="J60" i="5"/>
  <c r="J61" i="5"/>
  <c r="J62" i="5"/>
  <c r="J63" i="5"/>
  <c r="J64" i="5"/>
  <c r="J65" i="5"/>
  <c r="J66" i="5"/>
  <c r="J67" i="5"/>
  <c r="J68" i="5"/>
  <c r="J69" i="5"/>
  <c r="J70" i="5"/>
  <c r="J71" i="5"/>
  <c r="J72" i="5"/>
  <c r="J73" i="5"/>
  <c r="J74" i="5"/>
  <c r="J75" i="5"/>
  <c r="J76" i="5"/>
  <c r="J77" i="5"/>
  <c r="J78" i="5"/>
  <c r="J79" i="5"/>
  <c r="J80" i="5"/>
  <c r="J81" i="5"/>
  <c r="J82" i="5"/>
  <c r="J83" i="5"/>
  <c r="J84" i="5"/>
  <c r="J85" i="5"/>
  <c r="J86" i="5"/>
  <c r="J87" i="5"/>
  <c r="J88" i="5"/>
  <c r="J89" i="5"/>
  <c r="J90" i="5"/>
  <c r="J91" i="5"/>
  <c r="J92" i="5"/>
  <c r="J93" i="5"/>
  <c r="J94" i="5"/>
  <c r="J95" i="5"/>
  <c r="J96" i="5"/>
  <c r="J97" i="5"/>
  <c r="J98" i="5"/>
  <c r="J99" i="5"/>
  <c r="J100" i="5"/>
  <c r="J101" i="5"/>
  <c r="J102" i="5"/>
  <c r="J103" i="5"/>
  <c r="J104" i="5"/>
  <c r="J105" i="5"/>
  <c r="J106" i="5"/>
  <c r="J107" i="5"/>
  <c r="J108" i="5"/>
  <c r="J109" i="5"/>
  <c r="J110" i="5"/>
  <c r="J111" i="5"/>
  <c r="J112" i="5"/>
  <c r="J113" i="5"/>
  <c r="J114" i="5"/>
  <c r="J115" i="5"/>
  <c r="J116" i="5"/>
  <c r="J117" i="5"/>
  <c r="J118" i="5"/>
  <c r="J119" i="5"/>
  <c r="J120" i="5"/>
  <c r="J121" i="5"/>
  <c r="J122" i="5"/>
  <c r="J123" i="5"/>
  <c r="J124" i="5"/>
  <c r="J125" i="5"/>
  <c r="J126" i="5"/>
  <c r="J127" i="5"/>
  <c r="J128" i="5"/>
  <c r="J129" i="5"/>
  <c r="J130" i="5"/>
  <c r="J131" i="5"/>
  <c r="J132" i="5"/>
  <c r="J133" i="5"/>
  <c r="J134" i="5"/>
  <c r="J135" i="5"/>
  <c r="J136" i="5"/>
  <c r="J137" i="5"/>
  <c r="J138" i="5"/>
  <c r="J139" i="5"/>
  <c r="J140" i="5"/>
  <c r="J141" i="5"/>
  <c r="J142" i="5"/>
  <c r="J143" i="5"/>
  <c r="J144" i="5"/>
  <c r="J145" i="5"/>
  <c r="J146" i="5"/>
  <c r="J147" i="5"/>
  <c r="J148" i="5"/>
  <c r="J149" i="5"/>
  <c r="J150" i="5"/>
  <c r="J151" i="5"/>
  <c r="J152" i="5"/>
  <c r="J153" i="5"/>
  <c r="J154" i="5"/>
  <c r="J155" i="5"/>
  <c r="J156" i="5"/>
  <c r="J157" i="5"/>
  <c r="J158" i="5"/>
  <c r="J159" i="5"/>
  <c r="J160" i="5"/>
  <c r="J161" i="5"/>
  <c r="J162" i="5"/>
  <c r="J163" i="5"/>
  <c r="J164" i="5"/>
  <c r="J165" i="5"/>
  <c r="J166" i="5"/>
  <c r="J167" i="5"/>
  <c r="J168" i="5"/>
  <c r="J169" i="5"/>
  <c r="J170" i="5"/>
  <c r="J171" i="5"/>
  <c r="J172" i="5"/>
  <c r="J173" i="5"/>
  <c r="J174" i="5"/>
  <c r="J175" i="5"/>
  <c r="J176" i="5"/>
  <c r="J177" i="5"/>
  <c r="J178" i="5"/>
  <c r="J179" i="5"/>
  <c r="J180" i="5"/>
  <c r="J181" i="5"/>
  <c r="J182" i="5"/>
  <c r="J183" i="5"/>
  <c r="J184" i="5"/>
  <c r="J185" i="5"/>
  <c r="J186" i="5"/>
  <c r="J187" i="5"/>
  <c r="J188" i="5"/>
  <c r="J189" i="5"/>
  <c r="J190" i="5"/>
  <c r="J191" i="5"/>
  <c r="J192" i="5"/>
  <c r="J193" i="5"/>
  <c r="J194" i="5"/>
  <c r="J195" i="5"/>
  <c r="J196" i="5"/>
  <c r="J197" i="5"/>
  <c r="J198" i="5"/>
  <c r="J199" i="5"/>
  <c r="J200" i="5"/>
  <c r="J201" i="5"/>
  <c r="J202" i="5"/>
  <c r="J203" i="5"/>
  <c r="J204" i="5"/>
  <c r="J205" i="5"/>
  <c r="J206" i="5"/>
  <c r="J207" i="5"/>
  <c r="J208" i="5"/>
  <c r="J209" i="5"/>
  <c r="J210" i="5"/>
  <c r="J211" i="5"/>
  <c r="J212" i="5"/>
  <c r="J213" i="5"/>
  <c r="J214" i="5"/>
  <c r="J215" i="5"/>
  <c r="J216" i="5"/>
  <c r="J217" i="5"/>
  <c r="J218" i="5"/>
  <c r="J219" i="5"/>
  <c r="J220" i="5"/>
  <c r="J221" i="5"/>
  <c r="J222" i="5"/>
  <c r="J223" i="5"/>
  <c r="J224" i="5"/>
  <c r="J225" i="5"/>
  <c r="J226" i="5"/>
  <c r="J227" i="5"/>
  <c r="J228" i="5"/>
  <c r="J229" i="5"/>
  <c r="J230" i="5"/>
  <c r="J231" i="5"/>
  <c r="J232" i="5"/>
  <c r="J233" i="5"/>
  <c r="J234" i="5"/>
  <c r="J235" i="5"/>
  <c r="J236" i="5"/>
  <c r="J237" i="5"/>
  <c r="J238" i="5"/>
  <c r="J239" i="5"/>
  <c r="J240" i="5"/>
  <c r="J241" i="5"/>
  <c r="J242" i="5"/>
  <c r="J243" i="5"/>
  <c r="J244" i="5"/>
  <c r="J245" i="5"/>
  <c r="J246" i="5"/>
  <c r="J247" i="5"/>
  <c r="J248" i="5"/>
  <c r="J249" i="5"/>
  <c r="J250" i="5"/>
  <c r="J251" i="5"/>
  <c r="J252" i="5"/>
  <c r="J253" i="5"/>
  <c r="J254" i="5"/>
  <c r="J255" i="5"/>
  <c r="J256" i="5"/>
  <c r="J257" i="5"/>
  <c r="J258" i="5"/>
  <c r="J259" i="5"/>
  <c r="J260" i="5"/>
  <c r="J261" i="5"/>
  <c r="J262" i="5"/>
  <c r="J263" i="5"/>
  <c r="J264" i="5"/>
  <c r="J265" i="5"/>
  <c r="J266" i="5"/>
  <c r="J267" i="5"/>
  <c r="J268" i="5"/>
  <c r="J269" i="5"/>
  <c r="J270" i="5"/>
  <c r="J271" i="5"/>
  <c r="J272" i="5"/>
  <c r="J273" i="5"/>
  <c r="J274" i="5"/>
  <c r="J275" i="5"/>
  <c r="J276" i="5"/>
  <c r="J277" i="5"/>
  <c r="J278" i="5"/>
  <c r="J279" i="5"/>
  <c r="J280" i="5"/>
  <c r="J281" i="5"/>
  <c r="J282" i="5"/>
  <c r="J283" i="5"/>
  <c r="J284" i="5"/>
  <c r="J285" i="5"/>
  <c r="J286" i="5"/>
  <c r="J287" i="5"/>
  <c r="J288" i="5"/>
  <c r="J289" i="5"/>
  <c r="J290" i="5"/>
  <c r="J291" i="5"/>
  <c r="J292" i="5"/>
  <c r="J293" i="5"/>
  <c r="J294" i="5"/>
  <c r="J295" i="5"/>
  <c r="J296" i="5"/>
  <c r="J297" i="5"/>
  <c r="J298" i="5"/>
  <c r="J299" i="5"/>
  <c r="J300" i="5"/>
  <c r="J301" i="5"/>
  <c r="J302" i="5"/>
  <c r="J303" i="5"/>
  <c r="J304" i="5"/>
  <c r="J305" i="5"/>
  <c r="J306" i="5"/>
  <c r="J307" i="5"/>
  <c r="J308" i="5"/>
  <c r="J309" i="5"/>
  <c r="J310" i="5"/>
  <c r="J311" i="5"/>
  <c r="J312" i="5"/>
  <c r="J313" i="5"/>
  <c r="J314" i="5"/>
  <c r="J315" i="5"/>
  <c r="J316" i="5"/>
  <c r="J317" i="5"/>
  <c r="J318" i="5"/>
  <c r="J319" i="5"/>
  <c r="J320" i="5"/>
  <c r="J321" i="5"/>
  <c r="J322" i="5"/>
  <c r="J323" i="5"/>
  <c r="J324" i="5"/>
  <c r="J325" i="5"/>
  <c r="H325" i="5"/>
  <c r="H324" i="5"/>
  <c r="H323" i="5"/>
  <c r="H322" i="5"/>
  <c r="H321" i="5"/>
  <c r="H320" i="5"/>
  <c r="H319" i="5"/>
  <c r="H318" i="5"/>
  <c r="H317" i="5"/>
  <c r="H316" i="5"/>
  <c r="H315" i="5"/>
  <c r="H314" i="5"/>
  <c r="H313" i="5"/>
  <c r="H312" i="5"/>
  <c r="H311" i="5"/>
  <c r="H310" i="5"/>
  <c r="H309" i="5"/>
  <c r="H308" i="5"/>
  <c r="H307" i="5"/>
  <c r="H306" i="5"/>
  <c r="H305" i="5"/>
  <c r="H304" i="5"/>
  <c r="H303" i="5"/>
  <c r="H302" i="5"/>
  <c r="H301" i="5"/>
  <c r="H300" i="5"/>
  <c r="H299" i="5"/>
  <c r="H298" i="5"/>
  <c r="H297" i="5"/>
  <c r="H296" i="5"/>
  <c r="H295" i="5"/>
  <c r="H294" i="5"/>
  <c r="H293" i="5"/>
  <c r="H292" i="5"/>
  <c r="H291" i="5"/>
  <c r="H290" i="5"/>
  <c r="H289" i="5"/>
  <c r="H288" i="5"/>
  <c r="H287" i="5"/>
  <c r="H286" i="5"/>
  <c r="H285" i="5"/>
  <c r="H284" i="5"/>
  <c r="H283" i="5"/>
  <c r="H282" i="5"/>
  <c r="H281" i="5"/>
  <c r="H280" i="5"/>
  <c r="H279" i="5"/>
  <c r="H278" i="5"/>
  <c r="H277" i="5"/>
  <c r="H276" i="5"/>
  <c r="H275" i="5"/>
  <c r="H274" i="5"/>
  <c r="H273" i="5"/>
  <c r="H272" i="5"/>
  <c r="H271" i="5"/>
  <c r="H270" i="5"/>
  <c r="H269" i="5"/>
  <c r="H268" i="5"/>
  <c r="H267" i="5"/>
  <c r="H266" i="5"/>
  <c r="H265" i="5"/>
  <c r="H264" i="5"/>
  <c r="H263" i="5"/>
  <c r="H262" i="5"/>
  <c r="H261" i="5"/>
  <c r="H260" i="5"/>
  <c r="H259" i="5"/>
  <c r="H258" i="5"/>
  <c r="H257" i="5"/>
  <c r="H256" i="5"/>
  <c r="H255" i="5"/>
  <c r="H254" i="5"/>
  <c r="H253" i="5"/>
  <c r="H252" i="5"/>
  <c r="H251" i="5"/>
  <c r="H250" i="5"/>
  <c r="H249" i="5"/>
  <c r="H248" i="5"/>
  <c r="H247" i="5"/>
  <c r="H246" i="5"/>
  <c r="H245" i="5"/>
  <c r="H244" i="5"/>
  <c r="H243" i="5"/>
  <c r="H242" i="5"/>
  <c r="H241" i="5"/>
  <c r="H240" i="5"/>
  <c r="H239" i="5"/>
  <c r="H238" i="5"/>
  <c r="H237" i="5"/>
  <c r="H236" i="5"/>
  <c r="H235" i="5"/>
  <c r="H234" i="5"/>
  <c r="H233" i="5"/>
  <c r="H232" i="5"/>
  <c r="H231" i="5"/>
  <c r="H230" i="5"/>
  <c r="H229" i="5"/>
  <c r="H228" i="5"/>
  <c r="H227" i="5"/>
  <c r="H226" i="5"/>
  <c r="H225" i="5"/>
  <c r="H224" i="5"/>
  <c r="H223" i="5"/>
  <c r="H222" i="5"/>
  <c r="H221" i="5"/>
  <c r="H220" i="5"/>
  <c r="H219" i="5"/>
  <c r="H218" i="5"/>
  <c r="H217" i="5"/>
  <c r="H216" i="5"/>
  <c r="H215" i="5"/>
  <c r="H214" i="5"/>
  <c r="H213" i="5"/>
  <c r="H212" i="5"/>
  <c r="H211" i="5"/>
  <c r="H210" i="5"/>
  <c r="H209" i="5"/>
  <c r="H208" i="5"/>
  <c r="H207" i="5"/>
  <c r="H206" i="5"/>
  <c r="H205" i="5"/>
  <c r="H204" i="5"/>
  <c r="H203" i="5"/>
  <c r="H202" i="5"/>
  <c r="H201" i="5"/>
  <c r="H200" i="5"/>
  <c r="H199" i="5"/>
  <c r="H198" i="5"/>
  <c r="H197" i="5"/>
  <c r="H196" i="5"/>
  <c r="H195" i="5"/>
  <c r="H194" i="5"/>
  <c r="H193" i="5"/>
  <c r="H192" i="5"/>
  <c r="H191" i="5"/>
  <c r="H190" i="5"/>
  <c r="H189" i="5"/>
  <c r="H188" i="5"/>
  <c r="H187" i="5"/>
  <c r="H186" i="5"/>
  <c r="H185" i="5"/>
  <c r="H184" i="5"/>
  <c r="H183" i="5"/>
  <c r="H182" i="5"/>
  <c r="H181" i="5"/>
  <c r="H180" i="5"/>
  <c r="H179" i="5"/>
  <c r="H178" i="5"/>
  <c r="H177" i="5"/>
  <c r="H176" i="5"/>
  <c r="H175" i="5"/>
  <c r="H174" i="5"/>
  <c r="H173" i="5"/>
  <c r="H172" i="5"/>
  <c r="H171" i="5"/>
  <c r="H170" i="5"/>
  <c r="H169" i="5"/>
  <c r="H168" i="5"/>
  <c r="H167" i="5"/>
  <c r="H166" i="5"/>
  <c r="H165" i="5"/>
  <c r="H164" i="5"/>
  <c r="H163" i="5"/>
  <c r="H162" i="5"/>
  <c r="H161" i="5"/>
  <c r="H160" i="5"/>
  <c r="H159" i="5"/>
  <c r="H158" i="5"/>
  <c r="H157" i="5"/>
  <c r="H156" i="5"/>
  <c r="H155" i="5"/>
  <c r="H154" i="5"/>
  <c r="H153" i="5"/>
  <c r="H152" i="5"/>
  <c r="H151" i="5"/>
  <c r="H150" i="5"/>
  <c r="H149" i="5"/>
  <c r="H148" i="5"/>
  <c r="H147" i="5"/>
  <c r="H146" i="5"/>
  <c r="H145" i="5"/>
  <c r="H144" i="5"/>
  <c r="H143" i="5"/>
  <c r="H142" i="5"/>
  <c r="H141" i="5"/>
  <c r="H140" i="5"/>
  <c r="H139" i="5"/>
  <c r="H138" i="5"/>
  <c r="H137" i="5"/>
  <c r="H136" i="5"/>
  <c r="H135" i="5"/>
  <c r="H134" i="5"/>
  <c r="H133" i="5"/>
  <c r="H132" i="5"/>
  <c r="H131" i="5"/>
  <c r="H130" i="5"/>
  <c r="H129" i="5"/>
  <c r="H128" i="5"/>
  <c r="H127" i="5"/>
  <c r="H126" i="5"/>
  <c r="H125" i="5"/>
  <c r="H124" i="5"/>
  <c r="H123" i="5"/>
  <c r="H122" i="5"/>
  <c r="H121" i="5"/>
  <c r="H120" i="5"/>
  <c r="H119" i="5"/>
  <c r="H118" i="5"/>
  <c r="H117" i="5"/>
  <c r="H116" i="5"/>
  <c r="H115" i="5"/>
  <c r="H114" i="5"/>
  <c r="H113" i="5"/>
  <c r="H112" i="5"/>
  <c r="H111" i="5"/>
  <c r="H110" i="5"/>
  <c r="H109" i="5"/>
  <c r="H108" i="5"/>
  <c r="H107" i="5"/>
  <c r="H106" i="5"/>
  <c r="H105" i="5"/>
  <c r="H104" i="5"/>
  <c r="H103" i="5"/>
  <c r="H102" i="5"/>
  <c r="H101" i="5"/>
  <c r="H100" i="5"/>
  <c r="H99" i="5"/>
  <c r="H98" i="5"/>
  <c r="H97" i="5"/>
  <c r="H96" i="5"/>
  <c r="H95" i="5"/>
  <c r="H94" i="5"/>
  <c r="H93" i="5"/>
  <c r="H92" i="5"/>
  <c r="H91" i="5"/>
  <c r="H90" i="5"/>
  <c r="H89" i="5"/>
  <c r="H88" i="5"/>
  <c r="H87" i="5"/>
  <c r="H86" i="5"/>
  <c r="H85" i="5"/>
  <c r="H84" i="5"/>
  <c r="H83" i="5"/>
  <c r="H82" i="5"/>
  <c r="H81" i="5"/>
  <c r="H80" i="5"/>
  <c r="H79" i="5"/>
  <c r="H78" i="5"/>
  <c r="H77" i="5"/>
  <c r="H76" i="5"/>
  <c r="H75" i="5"/>
  <c r="H74" i="5"/>
  <c r="H73" i="5"/>
  <c r="H72" i="5"/>
  <c r="H71" i="5"/>
  <c r="H70" i="5"/>
  <c r="H69" i="5"/>
  <c r="H68" i="5"/>
  <c r="H67" i="5"/>
  <c r="H66" i="5"/>
  <c r="H65" i="5"/>
  <c r="H64" i="5"/>
  <c r="H63" i="5"/>
  <c r="H62" i="5"/>
  <c r="H61" i="5"/>
  <c r="H60" i="5"/>
  <c r="H59" i="5"/>
  <c r="H58" i="5"/>
  <c r="H57" i="5"/>
  <c r="H56" i="5"/>
  <c r="H55" i="5"/>
  <c r="H54" i="5"/>
  <c r="H53" i="5"/>
  <c r="H52" i="5"/>
  <c r="H51" i="5"/>
  <c r="H50" i="5"/>
  <c r="H49" i="5"/>
  <c r="H48" i="5"/>
  <c r="H47" i="5"/>
  <c r="H46" i="5"/>
  <c r="H45" i="5"/>
  <c r="H44" i="5"/>
  <c r="H43" i="5"/>
  <c r="H42" i="5"/>
  <c r="H41" i="5"/>
  <c r="H40" i="5"/>
  <c r="H39" i="5"/>
  <c r="H38" i="5"/>
  <c r="H37" i="5"/>
  <c r="H36" i="5"/>
  <c r="H35" i="5"/>
  <c r="H34" i="5"/>
  <c r="H33" i="5"/>
  <c r="H32" i="5"/>
  <c r="H31" i="5"/>
  <c r="H30" i="5"/>
  <c r="H29" i="5"/>
  <c r="H28" i="5"/>
  <c r="H27" i="5"/>
  <c r="H26" i="5"/>
  <c r="H25" i="5"/>
  <c r="H24" i="5"/>
  <c r="H23" i="5"/>
  <c r="H22" i="5"/>
  <c r="H21" i="5"/>
  <c r="H20" i="5"/>
  <c r="H19" i="5"/>
  <c r="H18" i="5"/>
  <c r="H17" i="5"/>
  <c r="H16" i="5"/>
  <c r="H15" i="5"/>
  <c r="H14" i="5"/>
  <c r="H13" i="5"/>
  <c r="H12" i="5"/>
  <c r="H11" i="5"/>
  <c r="H10" i="5"/>
  <c r="H9" i="5"/>
  <c r="H8" i="5"/>
  <c r="H7" i="5"/>
  <c r="H6" i="5"/>
  <c r="H5" i="5"/>
  <c r="H4" i="5"/>
  <c r="H3" i="5"/>
  <c r="A21" i="14"/>
  <c r="A22" i="14" s="1"/>
  <c r="A23" i="14" s="1"/>
  <c r="A24" i="14" s="1"/>
  <c r="A25" i="14" s="1"/>
  <c r="A26" i="14" s="1"/>
  <c r="A27" i="14" s="1"/>
  <c r="A28" i="14" s="1"/>
  <c r="A29" i="14" s="1"/>
  <c r="A6" i="14"/>
  <c r="A7" i="14" s="1"/>
  <c r="A8" i="14" s="1"/>
  <c r="A9" i="14" s="1"/>
  <c r="A10" i="14" s="1"/>
  <c r="A11" i="14" s="1"/>
  <c r="A12" i="14" s="1"/>
  <c r="A13" i="14" s="1"/>
  <c r="A14" i="14" s="1"/>
  <c r="A15" i="14" s="1"/>
  <c r="A16" i="14" s="1"/>
  <c r="A17" i="14" s="1"/>
  <c r="A18" i="14" s="1"/>
  <c r="A19" i="14" s="1"/>
</calcChain>
</file>

<file path=xl/sharedStrings.xml><?xml version="1.0" encoding="utf-8"?>
<sst xmlns="http://schemas.openxmlformats.org/spreadsheetml/2006/main" count="9568" uniqueCount="1985">
  <si>
    <t>DataFestiva</t>
  </si>
  <si>
    <t>Id</t>
  </si>
  <si>
    <t>Correu</t>
  </si>
  <si>
    <t>Nom</t>
  </si>
  <si>
    <t>DADES PERSONALS - Gènere</t>
  </si>
  <si>
    <t>Nom i Cognoms</t>
  </si>
  <si>
    <t>Correu1</t>
  </si>
  <si>
    <t>Competició</t>
  </si>
  <si>
    <t>1102230@uab.cat</t>
  </si>
  <si>
    <t>Carles Siso Pallas</t>
  </si>
  <si>
    <t>Home</t>
  </si>
  <si>
    <t>Carles Sisó</t>
  </si>
  <si>
    <t>carles.siso@uab.cat</t>
  </si>
  <si>
    <t>Tennis</t>
  </si>
  <si>
    <t>1792208@uab.cat</t>
  </si>
  <si>
    <t>Mario Boza Manríquez</t>
  </si>
  <si>
    <t>mario.bozaman@gmail.com</t>
  </si>
  <si>
    <t>1704194@uab.cat</t>
  </si>
  <si>
    <t>Guillem García Casado</t>
  </si>
  <si>
    <t xml:space="preserve">Guillem García Casado </t>
  </si>
  <si>
    <t>guillemgarciauab@gmail.com</t>
  </si>
  <si>
    <t>1570464@uab.cat</t>
  </si>
  <si>
    <t>Víctor Córdoba Pérez</t>
  </si>
  <si>
    <t>vicorez11@outlook.es</t>
  </si>
  <si>
    <t>1829049@uab.cat</t>
  </si>
  <si>
    <t>Konrad Philipp Räusch Räusch</t>
  </si>
  <si>
    <t>Konrad Räusch</t>
  </si>
  <si>
    <t>konrad.raeusch@gmail.com</t>
  </si>
  <si>
    <t>1746098@uab.cat</t>
  </si>
  <si>
    <t>Iker López Marcos</t>
  </si>
  <si>
    <t>1751085@uab.cat</t>
  </si>
  <si>
    <t>Alexandre Jambou Migallón</t>
  </si>
  <si>
    <t>1752235@uab.cat</t>
  </si>
  <si>
    <t>Lucía Chamarro Tercero</t>
  </si>
  <si>
    <t>Dona</t>
  </si>
  <si>
    <t>Lucia Chamarro</t>
  </si>
  <si>
    <t>lucia.chamarro18@gmail.com</t>
  </si>
  <si>
    <t>Bàdminton</t>
  </si>
  <si>
    <t>1841063@uab.cat</t>
  </si>
  <si>
    <t>Victor Guijarro Turowska</t>
  </si>
  <si>
    <t>Víctor Guijarro Turowska</t>
  </si>
  <si>
    <t xml:space="preserve">vicguitur@gmail.com </t>
  </si>
  <si>
    <t>vicguitur@gmail.com</t>
  </si>
  <si>
    <t>1747257@uab.cat</t>
  </si>
  <si>
    <t>Marc Pigem Style</t>
  </si>
  <si>
    <t>marcpigemstyle8@gmail.com</t>
  </si>
  <si>
    <t>1815117@uab.cat</t>
  </si>
  <si>
    <t>Eftihia Dimari</t>
  </si>
  <si>
    <t>1843004@uab.cat</t>
  </si>
  <si>
    <t>Mariia Bodrova</t>
  </si>
  <si>
    <t xml:space="preserve">Mariia Bodrova </t>
  </si>
  <si>
    <t>Mariia.Bodrova@autonoma.cat</t>
  </si>
  <si>
    <t>1844345@uab.cat</t>
  </si>
  <si>
    <t>Erika Pontillo Ferragonio</t>
  </si>
  <si>
    <t>erikaapontillof@gmail.com</t>
  </si>
  <si>
    <t>1841881@uab.cat</t>
  </si>
  <si>
    <t>Ares Codina Gros</t>
  </si>
  <si>
    <t>ares codina gros</t>
  </si>
  <si>
    <t>arescodina24@gmail.com</t>
  </si>
  <si>
    <t>1841901@uab.cat</t>
  </si>
  <si>
    <t>Arnau Balagué Barceló</t>
  </si>
  <si>
    <t>1708700@uab.cat</t>
  </si>
  <si>
    <t>Miquel Martínez i Quer</t>
  </si>
  <si>
    <t>Miquel Martinez Quer</t>
  </si>
  <si>
    <t>1793482@uab.cat</t>
  </si>
  <si>
    <t>Unai Blázquez Quintana</t>
  </si>
  <si>
    <t>Unai Blazquez Quintana</t>
  </si>
  <si>
    <t>unaiblqu@gmail.com</t>
  </si>
  <si>
    <t>1837588@uab.cat</t>
  </si>
  <si>
    <t>Marc Roquer i Porta</t>
  </si>
  <si>
    <t>Marc Roquer Porta</t>
  </si>
  <si>
    <t>marcroquerporta@gmail.com</t>
  </si>
  <si>
    <t>1846479@uab.cat</t>
  </si>
  <si>
    <t>Francisco De Gomis Godia</t>
  </si>
  <si>
    <t>Francisco de Gomis Godia</t>
  </si>
  <si>
    <t>fco_degomis@hotmail.com</t>
  </si>
  <si>
    <t>1835307@uab.cat</t>
  </si>
  <si>
    <t>Armand Arranz Lange-Prollius</t>
  </si>
  <si>
    <t>1840483@uab.cat</t>
  </si>
  <si>
    <t>Jatinderveer Singh Kaur</t>
  </si>
  <si>
    <t>1821158@uab.cat</t>
  </si>
  <si>
    <t>Pep Murtra i Sabaté</t>
  </si>
  <si>
    <t>Pep Murtra Sabaté</t>
  </si>
  <si>
    <t>1814490@uab.cat</t>
  </si>
  <si>
    <t>Yu Haoming Yu</t>
  </si>
  <si>
    <t>Haoming Yu</t>
  </si>
  <si>
    <t>yuhowmean@gmail.com</t>
  </si>
  <si>
    <t>1752968@uab.cat</t>
  </si>
  <si>
    <t>Sau Alemany Güeto</t>
  </si>
  <si>
    <t>Sau.Alemany@autonoma.cat</t>
  </si>
  <si>
    <t>1837560@uab.cat</t>
  </si>
  <si>
    <t>Marc Graciano Deltell</t>
  </si>
  <si>
    <t>marcgracianodeltell@gmail.com</t>
  </si>
  <si>
    <t>1750062@uab.cat</t>
  </si>
  <si>
    <t>Joel Martínez Hernández</t>
  </si>
  <si>
    <t xml:space="preserve">Joel Martínez Hernández </t>
  </si>
  <si>
    <t>joelmarti2006@gmail.com</t>
  </si>
  <si>
    <t>1747972@uab.cat</t>
  </si>
  <si>
    <t>Nicolas Carrera Angulo</t>
  </si>
  <si>
    <t>proaso2006@gmail.com</t>
  </si>
  <si>
    <t xml:space="preserve">Nom de l’equip o parella </t>
  </si>
  <si>
    <t>Competició Intracampus</t>
  </si>
  <si>
    <t>Rol</t>
  </si>
  <si>
    <t>1758117@uab.cat</t>
  </si>
  <si>
    <t>Hanchen Xiao</t>
  </si>
  <si>
    <t>Alibaba</t>
  </si>
  <si>
    <t>Bàsquet 3x3 intracampus dijous</t>
  </si>
  <si>
    <t>Delegat/a</t>
  </si>
  <si>
    <t>1835891@uab.cat</t>
  </si>
  <si>
    <t>Dante Matesanz Fainstein</t>
  </si>
  <si>
    <t xml:space="preserve">Ballstones </t>
  </si>
  <si>
    <t>1837332@uab.cat</t>
  </si>
  <si>
    <t>Lidia Fornés Torres</t>
  </si>
  <si>
    <t>BASQUET 3X3 SENSE EQUIP</t>
  </si>
  <si>
    <t>1836880@uab.cat</t>
  </si>
  <si>
    <t>Johann Sebastian Barrera Reza</t>
  </si>
  <si>
    <t>Los Mosquifiestas</t>
  </si>
  <si>
    <t>1746257@uab.cat</t>
  </si>
  <si>
    <t>Ivan Tejero Bernabé</t>
  </si>
  <si>
    <t>Absolut Purris FC</t>
  </si>
  <si>
    <t>Futbol 7 intracampus dimarts</t>
  </si>
  <si>
    <t>1669349@uab.cat</t>
  </si>
  <si>
    <t>Pau Muns Trabado</t>
  </si>
  <si>
    <t>Boltxetxiq</t>
  </si>
  <si>
    <t>1797885@uab.cat</t>
  </si>
  <si>
    <t>Martí Bergadà Valls</t>
  </si>
  <si>
    <t>Calipso CF</t>
  </si>
  <si>
    <t>1834744@uab.cat</t>
  </si>
  <si>
    <t>Agustina Rocio Palacio Grecco</t>
  </si>
  <si>
    <t xml:space="preserve">Cerocero </t>
  </si>
  <si>
    <t>1713256@uab.cat</t>
  </si>
  <si>
    <t>Carlos Farrés Lozano</t>
  </si>
  <si>
    <t>Enginyeria de Farres FC</t>
  </si>
  <si>
    <t>1840968@uab.cat</t>
  </si>
  <si>
    <t>Ramiro Llorens Ferreyra</t>
  </si>
  <si>
    <t>FC Los pollos hermanos</t>
  </si>
  <si>
    <t>1831766@uab.cat</t>
  </si>
  <si>
    <t>Daan Kerkhoven</t>
  </si>
  <si>
    <t>Pablo Haake i Ben Gordon</t>
  </si>
  <si>
    <t>1796848@uab.cat</t>
  </si>
  <si>
    <t>David Pérez González</t>
  </si>
  <si>
    <t>PANCTA</t>
  </si>
  <si>
    <t>1837090@uab.cat</t>
  </si>
  <si>
    <t>Justin Jaret García Andino</t>
  </si>
  <si>
    <t>Toys</t>
  </si>
  <si>
    <t>1704294@uab.cat</t>
  </si>
  <si>
    <t>Hugo Dueso Molina</t>
  </si>
  <si>
    <t>Al Khol Kon</t>
  </si>
  <si>
    <t>Futbol 7 intracampus dimecres</t>
  </si>
  <si>
    <t>1736805@uab.cat</t>
  </si>
  <si>
    <t>David Domènech Armillas</t>
  </si>
  <si>
    <t>Baganball</t>
  </si>
  <si>
    <t>1792905@uab.cat</t>
  </si>
  <si>
    <t>Oriol Prats Cuyàs</t>
  </si>
  <si>
    <t>Catalan Pirots</t>
  </si>
  <si>
    <t>1748137@uab.cat</t>
  </si>
  <si>
    <t>Oriol Ballester Martí</t>
  </si>
  <si>
    <t>CCR BIOAMB</t>
  </si>
  <si>
    <t>1751932@uab.cat</t>
  </si>
  <si>
    <t>Joan Gimbert Gallinad</t>
  </si>
  <si>
    <t>FantasIA</t>
  </si>
  <si>
    <t>1835943@uab.cat</t>
  </si>
  <si>
    <t>Dídac Álvarez Rodríguez</t>
  </si>
  <si>
    <t>FUTBOL 7 SENSE EQUIP</t>
  </si>
  <si>
    <t>1745087@uab.cat</t>
  </si>
  <si>
    <t>Bruno Mesa López</t>
  </si>
  <si>
    <t>Los Colgaos FC</t>
  </si>
  <si>
    <t>1747839@uab.cat</t>
  </si>
  <si>
    <t>Mustapha Lagui Ben Hami</t>
  </si>
  <si>
    <t>Ludópatas FC</t>
  </si>
  <si>
    <t>1836429@uab.cat</t>
  </si>
  <si>
    <t>Iago Pedro Daglio Grooscors</t>
  </si>
  <si>
    <t>Nanocampeones</t>
  </si>
  <si>
    <t>1752732@uab.cat</t>
  </si>
  <si>
    <t>Oriol Cano García</t>
  </si>
  <si>
    <t>Riada FC</t>
  </si>
  <si>
    <t>1835976@uab.cat</t>
  </si>
  <si>
    <t>Edgar Ballesteros Olivares</t>
  </si>
  <si>
    <t>Sin Rumbo FC</t>
  </si>
  <si>
    <t>1709730@uab.cat</t>
  </si>
  <si>
    <t>Cai Santamaria Brunet</t>
  </si>
  <si>
    <t>Sucados 2.0</t>
  </si>
  <si>
    <t>1790365@uab.cat</t>
  </si>
  <si>
    <t>Dídac Oliva Romero-Isart</t>
  </si>
  <si>
    <t>Vielha FC</t>
  </si>
  <si>
    <t>1755743@uab.cat</t>
  </si>
  <si>
    <t>Carles Marí Cardona</t>
  </si>
  <si>
    <t>bichiboys</t>
  </si>
  <si>
    <t>Pàdel intracampus dijous</t>
  </si>
  <si>
    <t>1704315@uab.cat</t>
  </si>
  <si>
    <t>Ian Roca Lopez</t>
  </si>
  <si>
    <t>BroadBall</t>
  </si>
  <si>
    <t>1795400@uab.cat</t>
  </si>
  <si>
    <t>Queralt Ballester Lecina</t>
  </si>
  <si>
    <t>Cequ</t>
  </si>
  <si>
    <t>comexuxes</t>
  </si>
  <si>
    <t>1791237@uab.cat</t>
  </si>
  <si>
    <t>Joan Vicenç Galvañ Gutiérrez</t>
  </si>
  <si>
    <t>Golden Boys</t>
  </si>
  <si>
    <t>1823243@uab.cat</t>
  </si>
  <si>
    <t>Luis Emilio Hernández Morelos</t>
  </si>
  <si>
    <t>Lehm</t>
  </si>
  <si>
    <t>1793171@uab.cat</t>
  </si>
  <si>
    <t>Raúl López De la Casa</t>
  </si>
  <si>
    <t>LOPEZ CANO</t>
  </si>
  <si>
    <t>1838075@uab.cat</t>
  </si>
  <si>
    <t>Mireia Clemot Escribano</t>
  </si>
  <si>
    <t>Mire i Laia</t>
  </si>
  <si>
    <t>1752072@uab.cat</t>
  </si>
  <si>
    <t>Kevin Martínez Olvera</t>
  </si>
  <si>
    <t>MK AND MP</t>
  </si>
  <si>
    <t>1736680@uab.cat</t>
  </si>
  <si>
    <t>Jordi Soler Gaspà</t>
  </si>
  <si>
    <t>Pàdel Masters</t>
  </si>
  <si>
    <t>1838487@uab.cat</t>
  </si>
  <si>
    <t>Oriol Santos Saló</t>
  </si>
  <si>
    <t>PÀDEL SENSE PARELLA DIJOUS</t>
  </si>
  <si>
    <t>1792788@uab.cat</t>
  </si>
  <si>
    <t>Noelia Azcurrain Álvarez</t>
  </si>
  <si>
    <t>PÀDEL SENSE PARELLA DIJOUS 2</t>
  </si>
  <si>
    <t>1744876@uab.cat</t>
  </si>
  <si>
    <t>Arnau López Lozano</t>
  </si>
  <si>
    <t>Rubén Velázquez Martín</t>
  </si>
  <si>
    <t>1702580@uab.cat</t>
  </si>
  <si>
    <t>Albert Cortada Abán</t>
  </si>
  <si>
    <t>X2</t>
  </si>
  <si>
    <t>1819409@uab.cat</t>
  </si>
  <si>
    <t>Xiaoqun Shi</t>
  </si>
  <si>
    <t>1750066@uab.cat</t>
  </si>
  <si>
    <t>Johan Sené Usón</t>
  </si>
  <si>
    <t>Claude Cavaliers</t>
  </si>
  <si>
    <t>Pàdel intracampus dimarts</t>
  </si>
  <si>
    <t>1835882@uab.cat</t>
  </si>
  <si>
    <t>Daniela Ripol Gibert</t>
  </si>
  <si>
    <t>María i Daniela</t>
  </si>
  <si>
    <t>1710413@uab.cat</t>
  </si>
  <si>
    <t>Juan Alejandro Rodríguez Potosí</t>
  </si>
  <si>
    <t>PÀDEL SENSE PARELLA DIMARTS</t>
  </si>
  <si>
    <t>1745468@uab.cat</t>
  </si>
  <si>
    <t>David Díaz Sánchez</t>
  </si>
  <si>
    <t>vxvx</t>
  </si>
  <si>
    <t>1842212@uab.cat</t>
  </si>
  <si>
    <t>Edurne Correa Aguiló</t>
  </si>
  <si>
    <t>Activas</t>
  </si>
  <si>
    <t>Voleibol 4x4 intracampus dimarts</t>
  </si>
  <si>
    <t>1839144@uab.cat</t>
  </si>
  <si>
    <t>Valentina Canzobre Roncador</t>
  </si>
  <si>
    <t>fosfodurum</t>
  </si>
  <si>
    <t>1840300@uab.cat</t>
  </si>
  <si>
    <t>Eloi Martínez Cayuela</t>
  </si>
  <si>
    <t>Intercept</t>
  </si>
  <si>
    <t>1710980@uab.cat</t>
  </si>
  <si>
    <t>Miquel Martínez Alimama</t>
  </si>
  <si>
    <t>Kurvitas</t>
  </si>
  <si>
    <t>1836919@uab.cat</t>
  </si>
  <si>
    <t>Josa Jové Tubau</t>
  </si>
  <si>
    <t>Les graelles</t>
  </si>
  <si>
    <t>1753108@uab.cat</t>
  </si>
  <si>
    <t>Xavier Gaseni Piñol</t>
  </si>
  <si>
    <t>Makwef</t>
  </si>
  <si>
    <t>1837880@uab.cat</t>
  </si>
  <si>
    <t>Martí Castellví Pinedo</t>
  </si>
  <si>
    <t>Si</t>
  </si>
  <si>
    <t>VOLEIBOL SENSE EQUIP</t>
  </si>
  <si>
    <t>1796865@uab.cat</t>
  </si>
  <si>
    <t>Diana Ferrer Cañadas</t>
  </si>
  <si>
    <t>VoleiCuy</t>
  </si>
  <si>
    <t>1835049@uab.cat</t>
  </si>
  <si>
    <t>Alexis Garzón Román</t>
  </si>
  <si>
    <t>wuolah enjoyers</t>
  </si>
  <si>
    <t>Nom de l’equip o parella</t>
  </si>
  <si>
    <t>1835248@uab.cat</t>
  </si>
  <si>
    <t>Arán Nogueira Acacio</t>
  </si>
  <si>
    <t xml:space="preserve">Arán </t>
  </si>
  <si>
    <t>arannogueira@gmail.com</t>
  </si>
  <si>
    <t>Ballstones</t>
  </si>
  <si>
    <t>Jugador/a</t>
  </si>
  <si>
    <t>dantematesanz@gmail.com</t>
  </si>
  <si>
    <t>1836851@uab.cat</t>
  </si>
  <si>
    <t>Joaquim Navarro Marsal</t>
  </si>
  <si>
    <t>quimnavarromarsal@gmail.com</t>
  </si>
  <si>
    <t>1563956@uab.cat</t>
  </si>
  <si>
    <t>Alba Salmerón Badrenas</t>
  </si>
  <si>
    <t>albaa.salmeron24@gmail.com</t>
  </si>
  <si>
    <t>1790618@uab.cat</t>
  </si>
  <si>
    <t>Fatima El Abdi Nadouri</t>
  </si>
  <si>
    <t>Fatimaelabdi07@gmail.com</t>
  </si>
  <si>
    <t>lfornestorres@gmail.com</t>
  </si>
  <si>
    <t>1702646@uab.cat</t>
  </si>
  <si>
    <t>Alejandro López Rodríguez</t>
  </si>
  <si>
    <t xml:space="preserve">Alejandro López Rodríguez </t>
  </si>
  <si>
    <t>aleloro2005@gmail.com</t>
  </si>
  <si>
    <t>kevinmartinezolvera@gmail.com</t>
  </si>
  <si>
    <t>Reyes magos</t>
  </si>
  <si>
    <t>Johann Sebastián Barrera Reza</t>
  </si>
  <si>
    <t>jonsonsbr545@gmail.com</t>
  </si>
  <si>
    <t>Tomás Xavier De La Rosa y Alejandro López Xavez</t>
  </si>
  <si>
    <t>1744540@uab.cat</t>
  </si>
  <si>
    <t>Àlex Cadevall Álvarez</t>
  </si>
  <si>
    <t>Alex Cadevall Alvarez</t>
  </si>
  <si>
    <t>alexcadevall2006@gmail.com</t>
  </si>
  <si>
    <t>1745518@uab.cat</t>
  </si>
  <si>
    <t>Dídac Muñoz Camps</t>
  </si>
  <si>
    <t>didacmuca44@gmail.com</t>
  </si>
  <si>
    <t>1746018@uab.cat</t>
  </si>
  <si>
    <t>Héctor Cadenas Alvarez</t>
  </si>
  <si>
    <t>Héctor Cadenas Álvarez</t>
  </si>
  <si>
    <t>hcadenasalv@gmail.com</t>
  </si>
  <si>
    <t>1746054@uab.cat</t>
  </si>
  <si>
    <t>Hugo Farelo León</t>
  </si>
  <si>
    <t>Hugo Farelo Leon</t>
  </si>
  <si>
    <t>hugo.farelo@gmail.com</t>
  </si>
  <si>
    <t>1702037@uab.cat</t>
  </si>
  <si>
    <t>Iker Martinez Maestra</t>
  </si>
  <si>
    <t>Iker Martínez Maestra</t>
  </si>
  <si>
    <t>Ivan Tejero Bernabe</t>
  </si>
  <si>
    <t>ivantejerobernabe@gmail.com</t>
  </si>
  <si>
    <t>1750396@uab.cat</t>
  </si>
  <si>
    <t>Oriol Pons Correro</t>
  </si>
  <si>
    <t>1748160@uab.cat</t>
  </si>
  <si>
    <t>Oriol Vila Sánchez</t>
  </si>
  <si>
    <t>oriolvila123@gmail.com</t>
  </si>
  <si>
    <t>1748251@uab.cat</t>
  </si>
  <si>
    <t>Pau Monfort Esteban</t>
  </si>
  <si>
    <t>paumonfort1302@gmail.com</t>
  </si>
  <si>
    <t>1748402@uab.cat</t>
  </si>
  <si>
    <t>Pol Baron Ciriano</t>
  </si>
  <si>
    <t>pol.bar.cir052@gmail.com</t>
  </si>
  <si>
    <t>1750479@uab.cat</t>
  </si>
  <si>
    <t>Roger Canadell Serrano</t>
  </si>
  <si>
    <t xml:space="preserve">Roger Canadell </t>
  </si>
  <si>
    <t>1748724@uab.cat</t>
  </si>
  <si>
    <t>Sergi López Quintero</t>
  </si>
  <si>
    <t xml:space="preserve">Sergi López Quintero </t>
  </si>
  <si>
    <t>1748893@uab.cat</t>
  </si>
  <si>
    <t>Victor Niccolai Periago</t>
  </si>
  <si>
    <t>Victor Niccolai</t>
  </si>
  <si>
    <t>niccolai.periago.victor@gmail.com</t>
  </si>
  <si>
    <t>1794236@uab.cat</t>
  </si>
  <si>
    <t>Abril Milán Estruch</t>
  </si>
  <si>
    <t>abrilmilanestruch1@gmail.com</t>
  </si>
  <si>
    <t>1634696@uab.cat</t>
  </si>
  <si>
    <t>Aimar Zamora Pascualena</t>
  </si>
  <si>
    <t>AIMAR ZAMORA PASCUALENA</t>
  </si>
  <si>
    <t>aimarzapas@gmail.com</t>
  </si>
  <si>
    <t>1699856@uab.cat</t>
  </si>
  <si>
    <t>Jordi Ollés Segarra</t>
  </si>
  <si>
    <t>Jordi Ollés</t>
  </si>
  <si>
    <t>jordi.olles2007@gmail.com</t>
  </si>
  <si>
    <t>1715280@uab.cat</t>
  </si>
  <si>
    <t>Lara Boix Fraile</t>
  </si>
  <si>
    <t>laraboix05@gmail.com</t>
  </si>
  <si>
    <t>1698127@uab.cat</t>
  </si>
  <si>
    <t>Lícia Ollés Segarra</t>
  </si>
  <si>
    <t>1747196@uab.cat</t>
  </si>
  <si>
    <t>Marc Alameda Llunell</t>
  </si>
  <si>
    <t>Marc Alameda i Llunelo</t>
  </si>
  <si>
    <t>marc.alameda@inssobreques.cat</t>
  </si>
  <si>
    <t>1668918@uab.cat</t>
  </si>
  <si>
    <t>Mohammed Jassem Lyahyaoui Zemzemi</t>
  </si>
  <si>
    <t>Jassem Lyahyaoui</t>
  </si>
  <si>
    <t>1630555@uab.cat</t>
  </si>
  <si>
    <t>Núria Giró Vial</t>
  </si>
  <si>
    <t xml:space="preserve">Núria Giró Vial </t>
  </si>
  <si>
    <t>nuria.autonoma@uab.cat</t>
  </si>
  <si>
    <t>paumunstrabado@gmail.com</t>
  </si>
  <si>
    <t>1669679@uab.cat</t>
  </si>
  <si>
    <t>Roger Figols Riera</t>
  </si>
  <si>
    <t xml:space="preserve">Roger Figols Riera </t>
  </si>
  <si>
    <t>1707037@uab.cat</t>
  </si>
  <si>
    <t>Sergi Creus Clapers</t>
  </si>
  <si>
    <t>screus2005@gmail.com</t>
  </si>
  <si>
    <t>1669864@uab.cat</t>
  </si>
  <si>
    <t>Sergi Pérez Estévez</t>
  </si>
  <si>
    <t>1834920@uab.cat</t>
  </si>
  <si>
    <t>Albert Pardo Pastor</t>
  </si>
  <si>
    <t>albert.patdo.2007@gmail.com</t>
  </si>
  <si>
    <t>1842270@uab.cat</t>
  </si>
  <si>
    <t>Enric Martos Altimir</t>
  </si>
  <si>
    <t>enricmartos24@gmail.com</t>
  </si>
  <si>
    <t>1794661@uab.cat</t>
  </si>
  <si>
    <t>Guillem Beal Barros</t>
  </si>
  <si>
    <t>gbealbarros@gmail.com</t>
  </si>
  <si>
    <t>1794740@uab.cat</t>
  </si>
  <si>
    <t>Iván Carrasco Guerra</t>
  </si>
  <si>
    <t xml:space="preserve">Iván Carrasco Guerra </t>
  </si>
  <si>
    <t>ivan130107carrasco@gmail.com</t>
  </si>
  <si>
    <t>1791206@uab.cat</t>
  </si>
  <si>
    <t>Joan Bauzà Riera</t>
  </si>
  <si>
    <t xml:space="preserve">Joan Bauzà Riera </t>
  </si>
  <si>
    <t>brjoan007@gmail.com</t>
  </si>
  <si>
    <t>1794982@uab.cat</t>
  </si>
  <si>
    <t>Marcel Casas Pelegri</t>
  </si>
  <si>
    <t xml:space="preserve">Marcel Casas Pelegrí </t>
  </si>
  <si>
    <t>mcasaspelegri@gmail.com</t>
  </si>
  <si>
    <t>1795436@uab.cat</t>
  </si>
  <si>
    <t>Reda El Khayat Eddars</t>
  </si>
  <si>
    <t>reddars07@gmail.com</t>
  </si>
  <si>
    <t>1738814@uab.cat</t>
  </si>
  <si>
    <t>Roger Ventura Vidal</t>
  </si>
  <si>
    <t xml:space="preserve">Roger </t>
  </si>
  <si>
    <t>roger.ventura259@gmail.com</t>
  </si>
  <si>
    <t>1798561@uab.cat</t>
  </si>
  <si>
    <t>Xavier De Haro Nieto</t>
  </si>
  <si>
    <t>Xavier de Haro Nieto</t>
  </si>
  <si>
    <t>xharo07@gmail.com</t>
  </si>
  <si>
    <t xml:space="preserve">Agustina Palacio Grecco </t>
  </si>
  <si>
    <t>Agustinapalaciogrecco@gmail.com</t>
  </si>
  <si>
    <t>Cerocero</t>
  </si>
  <si>
    <t>1796262@uab.cat</t>
  </si>
  <si>
    <t>Ainara Esteve García</t>
  </si>
  <si>
    <t xml:space="preserve">Ainara Esteve García </t>
  </si>
  <si>
    <t>ainaraestevegarcia07@gmail.com</t>
  </si>
  <si>
    <t>1841789@uab.cat</t>
  </si>
  <si>
    <t>Álvaro Puga Gallego</t>
  </si>
  <si>
    <t>pugaalvaro563@gmail.com</t>
  </si>
  <si>
    <t>1835146@uab.cat</t>
  </si>
  <si>
    <t>Andrés Permanyer Fernández</t>
  </si>
  <si>
    <t xml:space="preserve">Andres Permanyer Fernández </t>
  </si>
  <si>
    <t>1835326@uab.cat</t>
  </si>
  <si>
    <t>Arnau Marco Del Moral</t>
  </si>
  <si>
    <t>armademo44@gmail.com</t>
  </si>
  <si>
    <t>1836570@uab.cat</t>
  </si>
  <si>
    <t>Isaac Mallofré Colomé</t>
  </si>
  <si>
    <t>Isaac Mallofre</t>
  </si>
  <si>
    <t>1836811@uab.cat</t>
  </si>
  <si>
    <t>Joan Milian Calvet</t>
  </si>
  <si>
    <t>Joanmc08@gmail.com</t>
  </si>
  <si>
    <t>1843511@uab.cat</t>
  </si>
  <si>
    <t>Sergi Artigas Arrabal</t>
  </si>
  <si>
    <t>sergiartigasa@gmail.com</t>
  </si>
  <si>
    <t>1839250@uab.cat</t>
  </si>
  <si>
    <t>Xavier Ordóñez Vásquez</t>
  </si>
  <si>
    <t xml:space="preserve">Xavier Ordóñez Vásquez </t>
  </si>
  <si>
    <t>xavilejono404@gmail.com</t>
  </si>
  <si>
    <t>1744371@uab.cat</t>
  </si>
  <si>
    <t>Alan Farré Garrido</t>
  </si>
  <si>
    <t>1744755@uab.cat</t>
  </si>
  <si>
    <t>Anna Penalva Pous</t>
  </si>
  <si>
    <t>annapouuss@gmail.com</t>
  </si>
  <si>
    <t xml:space="preserve">Arnau López Lozano </t>
  </si>
  <si>
    <t>arnaulopezlozano@gmail.com</t>
  </si>
  <si>
    <t>1745043@uab.cat</t>
  </si>
  <si>
    <t>Biel Puga Jodas</t>
  </si>
  <si>
    <t>Carlos Farres Lozano</t>
  </si>
  <si>
    <t>carlosfarres2004@gmail.com</t>
  </si>
  <si>
    <t>1745464@uab.cat</t>
  </si>
  <si>
    <t>David Cabello Hernández</t>
  </si>
  <si>
    <t>David Cabello Hernandez</t>
  </si>
  <si>
    <t>davidcabello06@gmail.com</t>
  </si>
  <si>
    <t>1745466@uab.cat</t>
  </si>
  <si>
    <t>David Carrillo Maillo</t>
  </si>
  <si>
    <t>david44cm@gmail.com</t>
  </si>
  <si>
    <t>1749837@uab.cat</t>
  </si>
  <si>
    <t>David Gomez Blanco</t>
  </si>
  <si>
    <t>David Gómez Blanco</t>
  </si>
  <si>
    <t>dgb00160@gmail.com</t>
  </si>
  <si>
    <t>1749838@uab.cat</t>
  </si>
  <si>
    <t>David Pal Polgar</t>
  </si>
  <si>
    <t>davidpal666@gmail.com</t>
  </si>
  <si>
    <t>1751533@uab.cat</t>
  </si>
  <si>
    <t>Diogo Da Costa la Cabrita Teixeira</t>
  </si>
  <si>
    <t>Diogo da Costa Lã Cabrita Teixeira</t>
  </si>
  <si>
    <t>diogo.cabrita.teixeira@gmail.com</t>
  </si>
  <si>
    <t>1745950@uab.cat</t>
  </si>
  <si>
    <t>Gorka Sagristà Novell</t>
  </si>
  <si>
    <t xml:space="preserve">Iker López Marcos </t>
  </si>
  <si>
    <t>1750060@uab.cat</t>
  </si>
  <si>
    <t>Joel León Bou</t>
  </si>
  <si>
    <t>1747260@uab.cat</t>
  </si>
  <si>
    <t>Marçal Bodro i Compaña</t>
  </si>
  <si>
    <t>marsalbodro@gmail.com</t>
  </si>
  <si>
    <t>1748584@uab.cat</t>
  </si>
  <si>
    <t>Ruben Velazquez</t>
  </si>
  <si>
    <t>Ruben.velazquez.martin8@gmail.com</t>
  </si>
  <si>
    <t>1836215@uab.cat</t>
  </si>
  <si>
    <t>Ferran Cano Rubio</t>
  </si>
  <si>
    <t xml:space="preserve">Ferran Cano Rubio </t>
  </si>
  <si>
    <t>Ferran.cano24@gmail.com</t>
  </si>
  <si>
    <t>1836499@uab.cat</t>
  </si>
  <si>
    <t>Iñaki Esteban Gaitán Mesa</t>
  </si>
  <si>
    <t>inaki7718@gmail.com</t>
  </si>
  <si>
    <t>1845536@uab.cat</t>
  </si>
  <si>
    <t>Izan Fernández Jiménez</t>
  </si>
  <si>
    <t>Izan Fernandez Jimenez</t>
  </si>
  <si>
    <t>Kilizan234@gmail.com</t>
  </si>
  <si>
    <t>1842614@uab.cat</t>
  </si>
  <si>
    <t>Joel Quesada Pérez</t>
  </si>
  <si>
    <t>reastingally7075@gmail.com</t>
  </si>
  <si>
    <t>1836914@uab.cat</t>
  </si>
  <si>
    <t>Jorge Duran Vargas</t>
  </si>
  <si>
    <t>Jorge Duran</t>
  </si>
  <si>
    <t>jorgeduranvv@gmail.com</t>
  </si>
  <si>
    <t>1802605@uab.cat</t>
  </si>
  <si>
    <t>Oliver De Haro Rioja</t>
  </si>
  <si>
    <t>Oliver de Haro Rioja</t>
  </si>
  <si>
    <t>oliiverdeharoo@gmail.com</t>
  </si>
  <si>
    <t xml:space="preserve">Ramiro Llorens Ferreyra </t>
  </si>
  <si>
    <t>Ramiro.llorens.ferreyra11@gmail.com</t>
  </si>
  <si>
    <t>1838783@uab.cat</t>
  </si>
  <si>
    <t>Raúl Vico Villalba</t>
  </si>
  <si>
    <t xml:space="preserve">Raúl Vico Villalba </t>
  </si>
  <si>
    <t>raulvicovillalba11@gmail.com</t>
  </si>
  <si>
    <t>1845666@uab.cat</t>
  </si>
  <si>
    <t>Samir Belloudan Ben Chayb</t>
  </si>
  <si>
    <t>belloudansamir@gmail.com</t>
  </si>
  <si>
    <t>1831682@uab.cat</t>
  </si>
  <si>
    <t>Arnau Barberà Fernàndez</t>
  </si>
  <si>
    <t>arnaubarbera04@gmail.com</t>
  </si>
  <si>
    <t>1827336@uab.cat</t>
  </si>
  <si>
    <t>Catherine Canon-Almagro</t>
  </si>
  <si>
    <t>catherinecanon44@gmail.com</t>
  </si>
  <si>
    <t>Feline Kerkhoven</t>
  </si>
  <si>
    <t>daankerkhoven@gmail.com</t>
  </si>
  <si>
    <t>1833830@uab.cat</t>
  </si>
  <si>
    <t>Igor Peletskyi</t>
  </si>
  <si>
    <t xml:space="preserve">Igor Peletskyi </t>
  </si>
  <si>
    <t>peletskiyigor2004@gmail.com</t>
  </si>
  <si>
    <t>1819297@uab.cat</t>
  </si>
  <si>
    <t>Taleya Rosa Argueta</t>
  </si>
  <si>
    <t>Taleya</t>
  </si>
  <si>
    <t>1557645@uab.cat</t>
  </si>
  <si>
    <t>Williams Orlando Tapia Chavez</t>
  </si>
  <si>
    <t>williamsorlanto.tapia@autonoma.cat</t>
  </si>
  <si>
    <t>1831782@uab.cat</t>
  </si>
  <si>
    <t>Femke Selleslagh</t>
  </si>
  <si>
    <t>Selleslagh Femke</t>
  </si>
  <si>
    <t>1829536@uab.cat</t>
  </si>
  <si>
    <t>Ally Alvarez</t>
  </si>
  <si>
    <t>allyalvarez24@gmail.com</t>
  </si>
  <si>
    <t>Pablo Haake y Ben Gorden</t>
  </si>
  <si>
    <t>1789353@uab.cat</t>
  </si>
  <si>
    <t>Albert Gascón Marzo</t>
  </si>
  <si>
    <t>gasconmarzoalbert@gmail.com</t>
  </si>
  <si>
    <t>1789854@uab.cat</t>
  </si>
  <si>
    <t>Bernat Pujol Álvarez</t>
  </si>
  <si>
    <t>Bernat Pujol Alvarez</t>
  </si>
  <si>
    <t>bpinyoli@gmail.com</t>
  </si>
  <si>
    <t>1789902@uab.cat</t>
  </si>
  <si>
    <t>Biel Rodrigo Estrada</t>
  </si>
  <si>
    <t>1789907@uab.cat</t>
  </si>
  <si>
    <t>Biel Santiso González</t>
  </si>
  <si>
    <t>biel santiso gonzalez</t>
  </si>
  <si>
    <t>bielsantisogonzalez@gmail.com</t>
  </si>
  <si>
    <t>1797044@uab.cat</t>
  </si>
  <si>
    <t>Francesc Joan Borguñó Brugarolas</t>
  </si>
  <si>
    <t>pacoborgurolas@gmail.com</t>
  </si>
  <si>
    <t>1776552@uab.cat</t>
  </si>
  <si>
    <t>Hugo Hernando López</t>
  </si>
  <si>
    <t>Hugo Hernando Lopez</t>
  </si>
  <si>
    <t>hugoherlop28@gmail.com</t>
  </si>
  <si>
    <t>1792017@uab.cat</t>
  </si>
  <si>
    <t>Marcus Purcell Perez</t>
  </si>
  <si>
    <t>Marcus Purcell Pérez</t>
  </si>
  <si>
    <t>perezmarcus578@gmail.com</t>
  </si>
  <si>
    <t>1798254@uab.cat</t>
  </si>
  <si>
    <t>Pedro Martín Guerrero</t>
  </si>
  <si>
    <t>pmartinguerrero2007@gmail.com</t>
  </si>
  <si>
    <t>1793091@uab.cat</t>
  </si>
  <si>
    <t>Pol Arellano Sánchez</t>
  </si>
  <si>
    <t>polarsa29@gmail.com</t>
  </si>
  <si>
    <t>1741904@uab.cat</t>
  </si>
  <si>
    <t>Víctor Mena Santos</t>
  </si>
  <si>
    <t xml:space="preserve">Víctor Mena Santos </t>
  </si>
  <si>
    <t>1835152@uab.cat</t>
  </si>
  <si>
    <t>Andreu Vilella Ferré</t>
  </si>
  <si>
    <t>07andreuvf@gmail.com</t>
  </si>
  <si>
    <t>1836243@uab.cat</t>
  </si>
  <si>
    <t>Gabriel Casares Rosa</t>
  </si>
  <si>
    <t>gabrielcasaresrosa08@gmail.com</t>
  </si>
  <si>
    <t>1836757@uab.cat</t>
  </si>
  <si>
    <t>Javier Arañó Heredero</t>
  </si>
  <si>
    <t>javiaraher22@gmail.com</t>
  </si>
  <si>
    <t>Justin Jaret Garcia Andino</t>
  </si>
  <si>
    <t>jomstiam2003@gmail.com</t>
  </si>
  <si>
    <t>1838252@uab.cat</t>
  </si>
  <si>
    <t>Nicolás Soto Ramírez</t>
  </si>
  <si>
    <t>nicolassotor08@gmail.com</t>
  </si>
  <si>
    <t>1838807@uab.cat</t>
  </si>
  <si>
    <t>Roberto Vedovato</t>
  </si>
  <si>
    <t xml:space="preserve">Roberto Vedovato </t>
  </si>
  <si>
    <t>robertovedovato2004@gmail.com</t>
  </si>
  <si>
    <t>1848554@uab.cat</t>
  </si>
  <si>
    <t>Sergi Jimenez Barriga</t>
  </si>
  <si>
    <t>Sergi Jiménez</t>
  </si>
  <si>
    <t>sergijimenez2323@gmail.com</t>
  </si>
  <si>
    <t>1839234@uab.cat</t>
  </si>
  <si>
    <t>Xavi Guitart De Yzaguirre</t>
  </si>
  <si>
    <t>xaviguitart2008@gmail.com</t>
  </si>
  <si>
    <t>1749637@uab.cat</t>
  </si>
  <si>
    <t>Alex Quesada Quesada</t>
  </si>
  <si>
    <t>qqalexquesada@gmail.com</t>
  </si>
  <si>
    <t>Al Khol kon</t>
  </si>
  <si>
    <t>1703660@uab.cat</t>
  </si>
  <si>
    <t>Daniel Genov Draganova</t>
  </si>
  <si>
    <t>danigenov@protonmail.com</t>
  </si>
  <si>
    <t>1745442@uab.cat</t>
  </si>
  <si>
    <t>Daniela Martínez Moya</t>
  </si>
  <si>
    <t>Daniela Martínez</t>
  </si>
  <si>
    <t>martinezmoyadaniela@gmail.com</t>
  </si>
  <si>
    <t>1745732@uab.cat</t>
  </si>
  <si>
    <t>Esteban Villares Muñoz</t>
  </si>
  <si>
    <t>estebanvillares@gmail.com</t>
  </si>
  <si>
    <t>1749955@uab.cat</t>
  </si>
  <si>
    <t>Hugo Bergillos Moron</t>
  </si>
  <si>
    <t>hugobergillos@gmail.com</t>
  </si>
  <si>
    <t>hugoduesomolina@gmail.com</t>
  </si>
  <si>
    <t>1751985@uab.cat</t>
  </si>
  <si>
    <t>Josep Fernández Fabregat</t>
  </si>
  <si>
    <t>josepffar2505@gmail.com</t>
  </si>
  <si>
    <t>1747766@uab.cat</t>
  </si>
  <si>
    <t>Miquel Piñol Peris</t>
  </si>
  <si>
    <t>mpinyolperis@gmail.com</t>
  </si>
  <si>
    <t>1748468@uab.cat</t>
  </si>
  <si>
    <t>Rafael Ferré Arànega</t>
  </si>
  <si>
    <t>Rafa Ferré Arànega</t>
  </si>
  <si>
    <t>rafafaranega@gmail.com</t>
  </si>
  <si>
    <t>1798365@uab.cat</t>
  </si>
  <si>
    <t>Rubén Nadal Domenech</t>
  </si>
  <si>
    <t>Ruben Nadal Domenech</t>
  </si>
  <si>
    <t>rubennadaldomenech2@gmail.com</t>
  </si>
  <si>
    <t>1834983@uab.cat</t>
  </si>
  <si>
    <t>Alex Bayascas Guasch</t>
  </si>
  <si>
    <t xml:space="preserve">Alex Bayascas Guasch </t>
  </si>
  <si>
    <t>bayascasguaschalex@gmail.com</t>
  </si>
  <si>
    <t>1841758@uab.cat</t>
  </si>
  <si>
    <t>Àlex Rebollo Nikitina</t>
  </si>
  <si>
    <t>Àlex Rebollo Nikitin</t>
  </si>
  <si>
    <t>alexrebnik11@gmail.com</t>
  </si>
  <si>
    <t xml:space="preserve">Arán Nogueira Acacio </t>
  </si>
  <si>
    <t>1840128@uab.cat</t>
  </si>
  <si>
    <t>Arnau Alegret Oltra</t>
  </si>
  <si>
    <t>arnaualegretoltra@gmail.com</t>
  </si>
  <si>
    <t>1796537@uab.cat</t>
  </si>
  <si>
    <t>Arnau González Abad</t>
  </si>
  <si>
    <t xml:space="preserve">Arnau González </t>
  </si>
  <si>
    <t>Arnau.goab@gmail.com</t>
  </si>
  <si>
    <t>1785327@uab.cat</t>
  </si>
  <si>
    <t>Carlos Perlado Costa</t>
  </si>
  <si>
    <t>davidomenecha@gmail.com</t>
  </si>
  <si>
    <t>1835911@uab.cat</t>
  </si>
  <si>
    <t>David Lorenzo Bleda</t>
  </si>
  <si>
    <t xml:space="preserve">David Lorenzo Bleda </t>
  </si>
  <si>
    <t>1840304@uab.cat</t>
  </si>
  <si>
    <t>Elsa Rios Sanz</t>
  </si>
  <si>
    <t>elsariossanz@gmail.com</t>
  </si>
  <si>
    <t>1839417@uab.cat</t>
  </si>
  <si>
    <t>Èric Da Rocha Arnau</t>
  </si>
  <si>
    <t>ericus77777@gmail.com</t>
  </si>
  <si>
    <t>1827637@uab.cat</t>
  </si>
  <si>
    <t>Esteve Vilella Rivero</t>
  </si>
  <si>
    <t>esteve.villella14@gmail.com</t>
  </si>
  <si>
    <t>1836448@uab.cat</t>
  </si>
  <si>
    <t>Ignacio Hernando De Larramen Tomás</t>
  </si>
  <si>
    <t>Ignacio Hernando de Larramendi Tomás</t>
  </si>
  <si>
    <t>ignaciohernando7@gmail.com</t>
  </si>
  <si>
    <t>1840516@uab.cat</t>
  </si>
  <si>
    <t>Josep Barriach Ollé</t>
  </si>
  <si>
    <t>jossepguapo@gmail.com</t>
  </si>
  <si>
    <t>1791731@uab.cat</t>
  </si>
  <si>
    <t>Llorenç Gabaldà i Alcañiz</t>
  </si>
  <si>
    <t xml:space="preserve">Llorenç Gabaldà i Alcañiz </t>
  </si>
  <si>
    <t>llo.gabalca@gmail.com</t>
  </si>
  <si>
    <t>1837362@uab.cat</t>
  </si>
  <si>
    <t>Lluís Macià Mas</t>
  </si>
  <si>
    <t>lluismaciamas12@gmail.com</t>
  </si>
  <si>
    <t>1843067@uab.cat</t>
  </si>
  <si>
    <t>Marta Aranda Rubio</t>
  </si>
  <si>
    <t>martaarandarubio@gmail.com</t>
  </si>
  <si>
    <t>1840943@uab.cat</t>
  </si>
  <si>
    <t>Paula Solanas Álvarez</t>
  </si>
  <si>
    <t>paulasolanas1@gmail.com</t>
  </si>
  <si>
    <t>1798298@uab.cat</t>
  </si>
  <si>
    <t>Quim Albi Masdéu</t>
  </si>
  <si>
    <t>Prefereixo no dir-ho.</t>
  </si>
  <si>
    <t xml:space="preserve">Quim Albi Masdeu </t>
  </si>
  <si>
    <t>1838793@uab.cat</t>
  </si>
  <si>
    <t>Riccardo Segatori</t>
  </si>
  <si>
    <t>segatoriccardo6@gmail.com</t>
  </si>
  <si>
    <t>1839182@uab.cat</t>
  </si>
  <si>
    <t>Víctor Checa Martínez</t>
  </si>
  <si>
    <t>victorchemar@gmail.com</t>
  </si>
  <si>
    <t>1745886@uab.cat</t>
  </si>
  <si>
    <t>Genís Gimbert Pedrol</t>
  </si>
  <si>
    <t>Genis Gimbert Pedrol</t>
  </si>
  <si>
    <t>Joan Gimbert</t>
  </si>
  <si>
    <t>1750324@uab.cat</t>
  </si>
  <si>
    <t>Miquel Requena Pont</t>
  </si>
  <si>
    <t>miquel.requenaipont@gmail.com</t>
  </si>
  <si>
    <t>1748413@uab.cat</t>
  </si>
  <si>
    <t>Pol Cuesta Morote</t>
  </si>
  <si>
    <t>pcuestamorote@gmail.com</t>
  </si>
  <si>
    <t>carles siso</t>
  </si>
  <si>
    <t>didacalvarez4@gmail.com</t>
  </si>
  <si>
    <t>1836087@uab.cat</t>
  </si>
  <si>
    <t>Eniel García Madero</t>
  </si>
  <si>
    <t>egarciamadero08@gmail.com</t>
  </si>
  <si>
    <t>1791768@uab.cat</t>
  </si>
  <si>
    <t>Luca Mitchell</t>
  </si>
  <si>
    <t>lucamitchell474@gmail.com</t>
  </si>
  <si>
    <t>1679236@uab.cat</t>
  </si>
  <si>
    <t>Pol Navarro Rodriguez</t>
  </si>
  <si>
    <t>POL Navarro Rodriguez</t>
  </si>
  <si>
    <t>1818741@uab.cat</t>
  </si>
  <si>
    <t>Zhezheng Xie</t>
  </si>
  <si>
    <t>zhezheng xie</t>
  </si>
  <si>
    <t>Bruno Mesa Lopez</t>
  </si>
  <si>
    <t>brunomesalopez@gmail.com</t>
  </si>
  <si>
    <t>1791108@uab.cat</t>
  </si>
  <si>
    <t>Jan Pujós i Roncero</t>
  </si>
  <si>
    <t>Jan Pujós Roncero</t>
  </si>
  <si>
    <t>janpujos18@gmail.com</t>
  </si>
  <si>
    <t>1744871@uab.cat</t>
  </si>
  <si>
    <t>Arnau Guasch Pérez</t>
  </si>
  <si>
    <t>aguasch06@gmail.com</t>
  </si>
  <si>
    <t>1749789@uab.cat</t>
  </si>
  <si>
    <t>César Alexander González Castillo</t>
  </si>
  <si>
    <t>pitiki27@gmail.com</t>
  </si>
  <si>
    <t>1745680@uab.cat</t>
  </si>
  <si>
    <t>Enric Ferrer Caballero</t>
  </si>
  <si>
    <t xml:space="preserve">Enric Ferrer Caballero </t>
  </si>
  <si>
    <t>enricfc06@gmail.com</t>
  </si>
  <si>
    <t>1751841@uab.cat</t>
  </si>
  <si>
    <t>Isaac Alexander Vrijheid Murphy</t>
  </si>
  <si>
    <t>Isaac Murphy</t>
  </si>
  <si>
    <t>isaac.murphy0025@gmail.com</t>
  </si>
  <si>
    <t>1836796@uab.cat</t>
  </si>
  <si>
    <t>Jihad El Aluei El Youssfy</t>
  </si>
  <si>
    <t>1747772@uab.cat</t>
  </si>
  <si>
    <t>Mirco Basili</t>
  </si>
  <si>
    <t>mirco.basili1@gmail.com</t>
  </si>
  <si>
    <t>1748917@uab.cat</t>
  </si>
  <si>
    <t>Víctor Segura García</t>
  </si>
  <si>
    <t>Victor Segura García</t>
  </si>
  <si>
    <t>1753098@uab.cat</t>
  </si>
  <si>
    <t>Walid Khairoun El Aakel</t>
  </si>
  <si>
    <t>1749013@uab.cat</t>
  </si>
  <si>
    <t>Younes Erhahyt Sánchez</t>
  </si>
  <si>
    <t xml:space="preserve">Younes Erhahyt Sanchez </t>
  </si>
  <si>
    <t>Yerhahytsanchez@gmail.com</t>
  </si>
  <si>
    <t>1708970@uab.cat</t>
  </si>
  <si>
    <t>Yuchang Pan</t>
  </si>
  <si>
    <t>yuchangpan05@gmail.com</t>
  </si>
  <si>
    <t>1839986@uab.cat</t>
  </si>
  <si>
    <t>Adrian Galán Gómez</t>
  </si>
  <si>
    <t xml:space="preserve">Adrián Galán Gómez </t>
  </si>
  <si>
    <t>adriangalan122008@gmail.com</t>
  </si>
  <si>
    <t>1835953@uab.cat</t>
  </si>
  <si>
    <t>Diego Alvarez Alcalde</t>
  </si>
  <si>
    <t>Diego Álvarez</t>
  </si>
  <si>
    <t>3stud1osdiego@gmail.com</t>
  </si>
  <si>
    <t>1836197@uab.cat</t>
  </si>
  <si>
    <t>Fabio Senserrich Gázquez</t>
  </si>
  <si>
    <t xml:space="preserve">Fabio Senserrich Gázquez </t>
  </si>
  <si>
    <t>fabio.sensemayor@gmail.com</t>
  </si>
  <si>
    <t>1836350@uab.cat</t>
  </si>
  <si>
    <t>Guillem Villaverde Peraita</t>
  </si>
  <si>
    <t>guillem.villaverde@gmail.com</t>
  </si>
  <si>
    <t>1842452@uab.cat</t>
  </si>
  <si>
    <t>Iago Orosa Rilo</t>
  </si>
  <si>
    <t>iagoorosa@gmail.com</t>
  </si>
  <si>
    <t>1842579@uab.cat</t>
  </si>
  <si>
    <t>Jaume Pasqual Martí</t>
  </si>
  <si>
    <t>jaumemarti712@gmail.com</t>
  </si>
  <si>
    <t xml:space="preserve">Jordi Soler Gaspà </t>
  </si>
  <si>
    <t>Sgjordi210309@gmail.com</t>
  </si>
  <si>
    <t>1838731@uab.cat</t>
  </si>
  <si>
    <t>Pol Quesada Redondo</t>
  </si>
  <si>
    <t xml:space="preserve">Pol Quesada Redondo </t>
  </si>
  <si>
    <t>pol.sefra@gmail.com</t>
  </si>
  <si>
    <t>1749638@uab.cat</t>
  </si>
  <si>
    <t>Alex Ros Valero</t>
  </si>
  <si>
    <t>Àlex Ros Valero</t>
  </si>
  <si>
    <t>alexbellcaire307@gmail.com</t>
  </si>
  <si>
    <t>1789899@uab.cat</t>
  </si>
  <si>
    <t>Biel Pes Ruiz</t>
  </si>
  <si>
    <t>bielprtremp@gmail.com</t>
  </si>
  <si>
    <t>1751527@uab.cat</t>
  </si>
  <si>
    <t>Diego Évole Delgado</t>
  </si>
  <si>
    <t>diegoevoledelgado@gmail.com</t>
  </si>
  <si>
    <t>1751819@uab.cat</t>
  </si>
  <si>
    <t>Irene Largo Mateos</t>
  </si>
  <si>
    <t>1840494@uab.cat</t>
  </si>
  <si>
    <t>Joan Carretero i Pujol</t>
  </si>
  <si>
    <t>Joan Carretero Pujol</t>
  </si>
  <si>
    <t>jcarreteropujol@gmail.com</t>
  </si>
  <si>
    <t>1746531@uab.cat</t>
  </si>
  <si>
    <t>Josep Guardiola Molina</t>
  </si>
  <si>
    <t>guardiolamolina06@gmail.com</t>
  </si>
  <si>
    <t>1752484@uab.cat</t>
  </si>
  <si>
    <t>Martí Barrera Pasqual</t>
  </si>
  <si>
    <t>Oriol Cano Garcia</t>
  </si>
  <si>
    <t>oriolcanogarcia2@gmail.com</t>
  </si>
  <si>
    <t>1795298@uab.cat</t>
  </si>
  <si>
    <t>Pablo Constan Arias</t>
  </si>
  <si>
    <t>pabloconstanarias@gmail.com</t>
  </si>
  <si>
    <t>1838537@uab.cat</t>
  </si>
  <si>
    <t>Pau Beltrán Collet</t>
  </si>
  <si>
    <t>paubeltran78@gmail.com</t>
  </si>
  <si>
    <t>1748412@uab.cat</t>
  </si>
  <si>
    <t>Pol Cruzate Agustí</t>
  </si>
  <si>
    <t>Pol Cruzate Agusti</t>
  </si>
  <si>
    <t>polcruzate6@gmail.com</t>
  </si>
  <si>
    <t>1752856@uab.cat</t>
  </si>
  <si>
    <t>Ponç Egea Puigdefàbregas</t>
  </si>
  <si>
    <t>Ponç Egea Puigdefabregas</t>
  </si>
  <si>
    <t>poncegeapuigdefabregas@gmail.com</t>
  </si>
  <si>
    <t>albert.cortada.aban@gmail.com</t>
  </si>
  <si>
    <t>cai.sb23@gmail.com</t>
  </si>
  <si>
    <t>1709822@uab.cat</t>
  </si>
  <si>
    <t>Cesar Puget Ibañez</t>
  </si>
  <si>
    <t xml:space="preserve">César Puget Ibáñez </t>
  </si>
  <si>
    <t>cesarpugetibanez@gmail.com</t>
  </si>
  <si>
    <t>1708379@uab.cat</t>
  </si>
  <si>
    <t>Iván Costa Teruel</t>
  </si>
  <si>
    <t>ivancostat@gmail.com</t>
  </si>
  <si>
    <t>1494677@uab.cat</t>
  </si>
  <si>
    <t>Jaume Capdevila Jové</t>
  </si>
  <si>
    <t>jaumecapdevilajove@gmail.com</t>
  </si>
  <si>
    <t>1603498@uab.cat</t>
  </si>
  <si>
    <t>Mateo Rodríguez Parra</t>
  </si>
  <si>
    <t>mateorodriguez90@gmail.com</t>
  </si>
  <si>
    <t>1706429@uab.cat</t>
  </si>
  <si>
    <t>Oriol Anguera Milà</t>
  </si>
  <si>
    <t>oangueram@gmail.com</t>
  </si>
  <si>
    <t>1708852@uab.cat</t>
  </si>
  <si>
    <t>Raül Cardenal Jiménez</t>
  </si>
  <si>
    <t>raul010605@gmail.com</t>
  </si>
  <si>
    <t>1706920@uab.cat</t>
  </si>
  <si>
    <t>Rubén Rodríguez López</t>
  </si>
  <si>
    <t>Ruben Rodriguez Lopez</t>
  </si>
  <si>
    <t>ruben.rodpersonal@gmail.com</t>
  </si>
  <si>
    <t>1789187@uab.cat</t>
  </si>
  <si>
    <t>Aimar Aramburu Molina</t>
  </si>
  <si>
    <t>aramburumolinaaimar@gmail.com</t>
  </si>
  <si>
    <t>1789442@uab.cat</t>
  </si>
  <si>
    <t>Àlex Bosch Castilla</t>
  </si>
  <si>
    <t>Alex.bosch.2007@gmail.com</t>
  </si>
  <si>
    <t>1789453@uab.cat</t>
  </si>
  <si>
    <t>Àlex Pelàez De Gea</t>
  </si>
  <si>
    <t>alex.pelaezdegea@gmail.com</t>
  </si>
  <si>
    <t>1789730@uab.cat</t>
  </si>
  <si>
    <t>Ariadna Serra Gias</t>
  </si>
  <si>
    <t>ariadnaserragias@gmail.com</t>
  </si>
  <si>
    <t>1789759@uab.cat</t>
  </si>
  <si>
    <t>Arnau Ferrer Lucio</t>
  </si>
  <si>
    <t>arnauferrerlucio@gmail.com</t>
  </si>
  <si>
    <t>1789850@uab.cat</t>
  </si>
  <si>
    <t>Bernat Juncà Sucarrats</t>
  </si>
  <si>
    <t>Bernat Juncà i Sucarrats</t>
  </si>
  <si>
    <t>bernat.junca12@gmail.com</t>
  </si>
  <si>
    <t>1789909@uab.cat</t>
  </si>
  <si>
    <t>Biel Verdaguer Ferrer</t>
  </si>
  <si>
    <t>bielverdaguer23@gmail.com</t>
  </si>
  <si>
    <t>dolivaromeroisart@gmail.com</t>
  </si>
  <si>
    <t>1792329@uab.cat</t>
  </si>
  <si>
    <t>Martí González Joan</t>
  </si>
  <si>
    <t>martigon56@gmail.com</t>
  </si>
  <si>
    <t>1792422@uab.cat</t>
  </si>
  <si>
    <t>Mateo Hernández Costas</t>
  </si>
  <si>
    <t>mateohernandezcostas@gmail.com</t>
  </si>
  <si>
    <t>1706122@uab.cat</t>
  </si>
  <si>
    <t>Mohammed El Morabit Ochen</t>
  </si>
  <si>
    <t>Mohamed El Morabit</t>
  </si>
  <si>
    <t>mxhaa888@gmail.com</t>
  </si>
  <si>
    <t>1792992@uab.cat</t>
  </si>
  <si>
    <t>Pau Nieto Bou</t>
  </si>
  <si>
    <t>didaquet97@gmail.com</t>
  </si>
  <si>
    <t>Viella FC</t>
  </si>
  <si>
    <t>1749613@uab.cat</t>
  </si>
  <si>
    <t>Alba Ortiz Cubero</t>
  </si>
  <si>
    <t>Alba Ortiz</t>
  </si>
  <si>
    <t>Futbol sala Femení intracampus dijous</t>
  </si>
  <si>
    <t>FUTBOL SALA FEMENÍ SENSE EQUIP</t>
  </si>
  <si>
    <t>1840589@uab.cat</t>
  </si>
  <si>
    <t>Lara García Sánchez</t>
  </si>
  <si>
    <t xml:space="preserve">Lara García Sánchez </t>
  </si>
  <si>
    <t>1668210@uab.cat</t>
  </si>
  <si>
    <t>Malena Li Forcadell Esteller</t>
  </si>
  <si>
    <t>Malea Li Forcadell Esteller</t>
  </si>
  <si>
    <t>malenaforcadell@gmail.com</t>
  </si>
  <si>
    <t>1824139@uab.cat</t>
  </si>
  <si>
    <t>Maria Eugenia Estefani Aliaga Castillo</t>
  </si>
  <si>
    <t>Maria Eugenia Aliaga Castillo</t>
  </si>
  <si>
    <t>maliagacas@gmail.com</t>
  </si>
  <si>
    <t>1747418@uab.cat</t>
  </si>
  <si>
    <t>Marina Cugat García</t>
  </si>
  <si>
    <t>Marina Cugat Garcia</t>
  </si>
  <si>
    <t>marinacugatgarcia@gmail.com</t>
  </si>
  <si>
    <t>1843190@uab.cat</t>
  </si>
  <si>
    <t>Naila Maham Hussain Coelho</t>
  </si>
  <si>
    <t xml:space="preserve">Naila Hussain Coelho </t>
  </si>
  <si>
    <t>1798380@uab.cat</t>
  </si>
  <si>
    <t>Salwa Zaouia Riffi El Haddadi</t>
  </si>
  <si>
    <t>Salwa Zaouia</t>
  </si>
  <si>
    <t>salwazr9@gmail.com</t>
  </si>
  <si>
    <t>1824082@uab.cat</t>
  </si>
  <si>
    <t>Xuehua Song</t>
  </si>
  <si>
    <t>song xuehua</t>
  </si>
  <si>
    <t>susanasong19890809@gmail.com</t>
  </si>
  <si>
    <t>carlesmari9@gmail.com</t>
  </si>
  <si>
    <t>1708212@uab.cat</t>
  </si>
  <si>
    <t>Daniel Joshua Bonilla Guevara</t>
  </si>
  <si>
    <t>Daniel Bonilla Guevara</t>
  </si>
  <si>
    <t>danielbonilla278132@gmail.com</t>
  </si>
  <si>
    <t>Broadball</t>
  </si>
  <si>
    <t>Raúl López de la casa</t>
  </si>
  <si>
    <t>rulo8194@gmail.com</t>
  </si>
  <si>
    <t>CANO LÓPEZ</t>
  </si>
  <si>
    <t>queraltballester@gmail.com</t>
  </si>
  <si>
    <t>Joan Vicenç Galvañ Gutierrez</t>
  </si>
  <si>
    <t>jgalvangu@gmail.com</t>
  </si>
  <si>
    <t>1792940@uab.cat</t>
  </si>
  <si>
    <t>Pablo Rodriguez Perez</t>
  </si>
  <si>
    <t>Pablo Rodríguez Pérez</t>
  </si>
  <si>
    <t>pablo.osoxdxd@gmail.com</t>
  </si>
  <si>
    <t xml:space="preserve">Luis Emilio Hernández Morelos </t>
  </si>
  <si>
    <t>LEHM</t>
  </si>
  <si>
    <t>1837209@uab.cat</t>
  </si>
  <si>
    <t>Laia Vall Grau</t>
  </si>
  <si>
    <t>laiavg7@gmail.com</t>
  </si>
  <si>
    <t>mire i laia</t>
  </si>
  <si>
    <t>mireiaclemot@icloud.com</t>
  </si>
  <si>
    <t>Mire y Laia</t>
  </si>
  <si>
    <t>1837356@uab.cat</t>
  </si>
  <si>
    <t>Lluc Marugán Ferrer</t>
  </si>
  <si>
    <t>ferrermarugan@gmail.com</t>
  </si>
  <si>
    <t>1835418@uab.cat</t>
  </si>
  <si>
    <t>Bernat Sala Arcos</t>
  </si>
  <si>
    <t>bernatsalaarcos@gmail.com</t>
  </si>
  <si>
    <t>Noelia Azcurrain Alvarez</t>
  </si>
  <si>
    <t>noeliaazcurrainalvarez@gmail.com</t>
  </si>
  <si>
    <t>Albert Cortada Aban</t>
  </si>
  <si>
    <t>1705493@uab.cat</t>
  </si>
  <si>
    <t>Marc Hernández Jimenez</t>
  </si>
  <si>
    <t>Marc Hernández Jiménez</t>
  </si>
  <si>
    <t>Marc.hernandez.jimenez@gmail.com</t>
  </si>
  <si>
    <t>Alejandro Rodríguez Potosí</t>
  </si>
  <si>
    <t>alexropo2005@gmail.com</t>
  </si>
  <si>
    <t>1814065@uab.cat</t>
  </si>
  <si>
    <t>Júlia Rivas Prat</t>
  </si>
  <si>
    <t>Julia.RivasP@autonoma.cat</t>
  </si>
  <si>
    <t>Fosfodurum</t>
  </si>
  <si>
    <t>1839492@uab.cat</t>
  </si>
  <si>
    <t>Omar El Moukallif Naim</t>
  </si>
  <si>
    <t>Valentina Canzobre Roncadoe</t>
  </si>
  <si>
    <t>1841983@uab.cat</t>
  </si>
  <si>
    <t>Blanca Orfila Serra</t>
  </si>
  <si>
    <t>blancaorfila55@gmail.com</t>
  </si>
  <si>
    <t>martinezcayuelaeloi@gmail.com</t>
  </si>
  <si>
    <t>1837028@uab.cat</t>
  </si>
  <si>
    <t>Júlia Espelt Vaz</t>
  </si>
  <si>
    <t>jespeltvaz@gmail.com</t>
  </si>
  <si>
    <t>castellvi1234@gmail.com</t>
  </si>
  <si>
    <t>1829990@uab.cat</t>
  </si>
  <si>
    <t>Aleksander Grzegorz Opoka</t>
  </si>
  <si>
    <t>Aleksander Opoka</t>
  </si>
  <si>
    <t>olekopoka@gmail.com</t>
  </si>
  <si>
    <t>mikelma291105@gmail.com</t>
  </si>
  <si>
    <t>1829308@uab.cat</t>
  </si>
  <si>
    <t>Patryk Artur Drewniak</t>
  </si>
  <si>
    <t>Patryk Drewniak</t>
  </si>
  <si>
    <t>pdrewniak04@gmail.com</t>
  </si>
  <si>
    <t>1793242@uab.cat</t>
  </si>
  <si>
    <t>Rubén Miño Magaña</t>
  </si>
  <si>
    <t>rmino2006@gmail.com</t>
  </si>
  <si>
    <t>1795672@uab.cat</t>
  </si>
  <si>
    <t>Wojciech Ukowski</t>
  </si>
  <si>
    <t xml:space="preserve">Wojciech Żukowski </t>
  </si>
  <si>
    <t>Wojtanek.zuk.10@gmail.com</t>
  </si>
  <si>
    <t>1836313@uab.cat</t>
  </si>
  <si>
    <t>Giovanna Guerra Bomfim De Oliveira</t>
  </si>
  <si>
    <t>Giovanna Guerra Bomfim</t>
  </si>
  <si>
    <t>guerragiovanna220@gmail.com</t>
  </si>
  <si>
    <t xml:space="preserve">Josa Jové Tubau </t>
  </si>
  <si>
    <t>Jovetubaujosa08@gmail.com</t>
  </si>
  <si>
    <t>1837419@uab.cat</t>
  </si>
  <si>
    <t>Lucia Fernández González</t>
  </si>
  <si>
    <t xml:space="preserve">Lucia Fernández González </t>
  </si>
  <si>
    <t>luciaafernandezz89@gmail.com</t>
  </si>
  <si>
    <t>1838987@uab.cat</t>
  </si>
  <si>
    <t>Sarai Mari Rubio</t>
  </si>
  <si>
    <t>smaru5353@gmail.com</t>
  </si>
  <si>
    <t>1790746@uab.cat</t>
  </si>
  <si>
    <t>Gisele Jaccottet Mattos</t>
  </si>
  <si>
    <t>gijaccottet@gmail.com</t>
  </si>
  <si>
    <t>volei cuy</t>
  </si>
  <si>
    <t>1847720@uab.cat</t>
  </si>
  <si>
    <t>Dana Itzagueri Ramírez González</t>
  </si>
  <si>
    <t>Dana Itzagueri Ramírez Gonzalez</t>
  </si>
  <si>
    <t>danaitagueri@gmail.com</t>
  </si>
  <si>
    <t>1790736@uab.cat</t>
  </si>
  <si>
    <t>Gisela Díez Agudo</t>
  </si>
  <si>
    <t xml:space="preserve">Gisela Díez Agudo </t>
  </si>
  <si>
    <t>giseladiez2003@gmail.com</t>
  </si>
  <si>
    <t>1792036@uab.cat</t>
  </si>
  <si>
    <t>Maria Castillo i Lladó</t>
  </si>
  <si>
    <t>María Castillo Lladó</t>
  </si>
  <si>
    <t>mariajack2005@gmail.com</t>
  </si>
  <si>
    <t>1824989@uab.cat</t>
  </si>
  <si>
    <t>Milica Pejanovic</t>
  </si>
  <si>
    <t>pejenovicmilica28@gmail.com</t>
  </si>
  <si>
    <t>1841012@uab.cat</t>
  </si>
  <si>
    <t>Sara Piqueras Cepeda</t>
  </si>
  <si>
    <t>sarauab8@gmail.com</t>
  </si>
  <si>
    <t>1839018@uab.cat</t>
  </si>
  <si>
    <t>Sergio Gilabert Gámez</t>
  </si>
  <si>
    <t>sergiogilabertgamez@gmail.com</t>
  </si>
  <si>
    <t>Alexis.Garzon@autonoma.cat</t>
  </si>
  <si>
    <t>1749784@uab.cat</t>
  </si>
  <si>
    <t>Carme Mateo Noguera</t>
  </si>
  <si>
    <t>1839024@uab.cat</t>
  </si>
  <si>
    <t>Shanti Hernández Rial</t>
  </si>
  <si>
    <t>Shanti Hernandez Rial</t>
  </si>
  <si>
    <t>correoshanti@gmail.com</t>
  </si>
  <si>
    <t>1839049@uab.cat</t>
  </si>
  <si>
    <t>Simó Ferrer Puértolas</t>
  </si>
  <si>
    <t>simopuertolas@gmail.com</t>
  </si>
  <si>
    <t>Diana Ferrer</t>
  </si>
  <si>
    <t>dina4fc28@gmail.com</t>
  </si>
  <si>
    <t>1792000@uab.cat</t>
  </si>
  <si>
    <t>Marcel Artero Merino</t>
  </si>
  <si>
    <t>marcelarteromerino@gmail.com</t>
  </si>
  <si>
    <t>1743515@uab.cat</t>
  </si>
  <si>
    <t>Clara Puicón Pérez</t>
  </si>
  <si>
    <t>Clara Puicon</t>
  </si>
  <si>
    <t>Naepuicon@gmail.com</t>
  </si>
  <si>
    <t>Voleicuy</t>
  </si>
  <si>
    <t>1820741@uab.cat</t>
  </si>
  <si>
    <t>Pablo Dietrich Haake Lucas</t>
  </si>
  <si>
    <t>Pablo Haake Lucas</t>
  </si>
  <si>
    <t xml:space="preserve">Decreix Demons (con Ben Gordon y otros) </t>
  </si>
  <si>
    <t>1831524@uab.cat</t>
  </si>
  <si>
    <t>Beniamino Lawrence Gordon</t>
  </si>
  <si>
    <t>Beniamino Gordon</t>
  </si>
  <si>
    <t>1830993@uab.cat</t>
  </si>
  <si>
    <t>Gustavo Christofoletti Husseini De Oliveira</t>
  </si>
  <si>
    <t xml:space="preserve">Gustavo Christofoletti </t>
  </si>
  <si>
    <t xml:space="preserve">gustavomedicattus@gmail.com </t>
  </si>
  <si>
    <t xml:space="preserve">Pablo haake i Ben Gordon </t>
  </si>
  <si>
    <t>1752190@uab.cat</t>
  </si>
  <si>
    <t>Lluís Miracle Arnau</t>
  </si>
  <si>
    <t>lmiraclea4@gmail.com</t>
  </si>
  <si>
    <t>1837839@uab.cat</t>
  </si>
  <si>
    <t>Aku González Viñals</t>
  </si>
  <si>
    <t>Aku González</t>
  </si>
  <si>
    <t>akumavinyals@gmail.com</t>
  </si>
  <si>
    <t>Padelante</t>
  </si>
  <si>
    <t>1789746@uab.cat</t>
  </si>
  <si>
    <t>Leo Dols Férrez</t>
  </si>
  <si>
    <t>No-Binari</t>
  </si>
  <si>
    <t>Leo.Dols@autonoma.cat</t>
  </si>
  <si>
    <t>pá'delante</t>
  </si>
  <si>
    <t>Mireia i Laia</t>
  </si>
  <si>
    <t>1751483@uab.cat</t>
  </si>
  <si>
    <t>Daniel Sebastián Castaño</t>
  </si>
  <si>
    <t>Daniel Sebastian Castaño</t>
  </si>
  <si>
    <t>danisebcas@outlook.com</t>
  </si>
  <si>
    <t>Bichiboys</t>
  </si>
  <si>
    <t>1848091@uab.cat</t>
  </si>
  <si>
    <t>Rodrigo Belda Borja</t>
  </si>
  <si>
    <t>Rodrigo Belda i Borja</t>
  </si>
  <si>
    <t>mr.wheels.1501@gmail.com</t>
  </si>
  <si>
    <t>1748392@uab.cat</t>
  </si>
  <si>
    <t>Pere Pujol Font</t>
  </si>
  <si>
    <t>fontpujolpere@gmail.com</t>
  </si>
  <si>
    <t>1745054@uab.cat</t>
  </si>
  <si>
    <t>Blai Compta Falgarona</t>
  </si>
  <si>
    <t>blaicmpt@gmail.com</t>
  </si>
  <si>
    <t>1748841@uab.cat</t>
  </si>
  <si>
    <t>Teo Barrachina Carrasco</t>
  </si>
  <si>
    <t>Teo Barrachina Carrasci</t>
  </si>
  <si>
    <t>t.barcar06@gmail.com</t>
  </si>
  <si>
    <t>1747605@uab.cat</t>
  </si>
  <si>
    <t>Martí González Díaz-Benito</t>
  </si>
  <si>
    <t>martigonzalezdiazbenito@gmail.com</t>
  </si>
  <si>
    <t>1840982@uab.cat</t>
  </si>
  <si>
    <t>Roger Garriga Canal</t>
  </si>
  <si>
    <t>rogaca2803@gmail.com</t>
  </si>
  <si>
    <t>1746408@uab.cat</t>
  </si>
  <si>
    <t>Joan Olivares Compañó</t>
  </si>
  <si>
    <t>Joan Olivares Companyo</t>
  </si>
  <si>
    <t>ocjoan14@gmail.com</t>
  </si>
  <si>
    <t xml:space="preserve">Jordi Soler </t>
  </si>
  <si>
    <t>Sense parella dijous</t>
  </si>
  <si>
    <t>1748472@uab.cat</t>
  </si>
  <si>
    <t>Ramon Olivares Compañó</t>
  </si>
  <si>
    <t>Ramon Olivares Companyo</t>
  </si>
  <si>
    <t>ramonolivarescompanyo@gmail.com</t>
  </si>
  <si>
    <t>1699446@uab.cat</t>
  </si>
  <si>
    <t>Hugo Arpio Calin</t>
  </si>
  <si>
    <t xml:space="preserve">Hugo Arpio Calin </t>
  </si>
  <si>
    <t>hugo23arpio@gmail.com</t>
  </si>
  <si>
    <t>1751265@uab.cat</t>
  </si>
  <si>
    <t>Bernat Puiggermanal Altimiras</t>
  </si>
  <si>
    <t>Bernat Puiggermanal Altimras</t>
  </si>
  <si>
    <t>1748167@uab.cat</t>
  </si>
  <si>
    <t>Oscar Martínez Piñero</t>
  </si>
  <si>
    <t>oscarpimartinez@gmail.com</t>
  </si>
  <si>
    <t>1682948@uab.cat</t>
  </si>
  <si>
    <t>Bernat Herrero Mas</t>
  </si>
  <si>
    <t>1751784@uab.cat</t>
  </si>
  <si>
    <t>Iker Rodríguez Silva</t>
  </si>
  <si>
    <t xml:space="preserve">Iker Rodríguez Silva </t>
  </si>
  <si>
    <t>Etiquetas de fila</t>
  </si>
  <si>
    <t>Cuenta de Correu UAB</t>
  </si>
  <si>
    <t>Estrella Roja</t>
  </si>
  <si>
    <t>VBCarles</t>
  </si>
  <si>
    <t>Total general</t>
  </si>
  <si>
    <t xml:space="preserve">Competició </t>
  </si>
  <si>
    <t>Nom de l’equip</t>
  </si>
  <si>
    <t>IdParticipant</t>
  </si>
  <si>
    <t>Nom del Component</t>
  </si>
  <si>
    <t>Correu UAB</t>
  </si>
  <si>
    <t>Correu Personal</t>
  </si>
  <si>
    <t>TotalAssistencies</t>
  </si>
  <si>
    <t>PAR-2627-0001</t>
  </si>
  <si>
    <t>PAR-2627-0002</t>
  </si>
  <si>
    <t>PAR-2627-0003</t>
  </si>
  <si>
    <t>PAR-2627-0004</t>
  </si>
  <si>
    <t>PAR-2627-0005</t>
  </si>
  <si>
    <t>PAR-2627-0006</t>
  </si>
  <si>
    <t>PAR-2627-0007</t>
  </si>
  <si>
    <t>PAR-2627-0008</t>
  </si>
  <si>
    <t>PAR-2627-0009</t>
  </si>
  <si>
    <t>PAR-2627-0010</t>
  </si>
  <si>
    <t>PAR-2627-0011</t>
  </si>
  <si>
    <t>PAR-2627-0012</t>
  </si>
  <si>
    <t>PAR-2627-0013</t>
  </si>
  <si>
    <t>PAR-2627-0014</t>
  </si>
  <si>
    <t>PAR-2627-0015</t>
  </si>
  <si>
    <t>PAR-2627-0016</t>
  </si>
  <si>
    <t>PAR-2627-0017</t>
  </si>
  <si>
    <t>PAR-2627-0018</t>
  </si>
  <si>
    <t>PAR-2627-0019</t>
  </si>
  <si>
    <t>PAR-2627-0020</t>
  </si>
  <si>
    <t>PAR-2627-0021</t>
  </si>
  <si>
    <t>PAR-2627-0022</t>
  </si>
  <si>
    <t>PAR-2627-0023</t>
  </si>
  <si>
    <t>PAR-2627-0024</t>
  </si>
  <si>
    <t>PAR-2627-0025</t>
  </si>
  <si>
    <t>PAR-2627-0026</t>
  </si>
  <si>
    <t>PAR-2627-0027</t>
  </si>
  <si>
    <t>PAR-2627-0028</t>
  </si>
  <si>
    <t>PAR-2627-0029</t>
  </si>
  <si>
    <t>PAR-2627-0030</t>
  </si>
  <si>
    <t>PAR-2627-0031</t>
  </si>
  <si>
    <t>PAR-2627-0032</t>
  </si>
  <si>
    <t>PAR-2627-0033</t>
  </si>
  <si>
    <t>PAR-2627-0034</t>
  </si>
  <si>
    <t>PAR-2627-0035</t>
  </si>
  <si>
    <t>PAR-2627-0036</t>
  </si>
  <si>
    <t>PAR-2627-0037</t>
  </si>
  <si>
    <t>PAR-2627-0038</t>
  </si>
  <si>
    <t>PAR-2627-0039</t>
  </si>
  <si>
    <t>PAR-2627-0040</t>
  </si>
  <si>
    <t>PAR-2627-0041</t>
  </si>
  <si>
    <t>PAR-2627-0042</t>
  </si>
  <si>
    <t>PAR-2627-0043</t>
  </si>
  <si>
    <t>PAR-2627-0044</t>
  </si>
  <si>
    <t>PAR-2627-0045</t>
  </si>
  <si>
    <t>PAR-2627-0046</t>
  </si>
  <si>
    <t>PAR-2627-0047</t>
  </si>
  <si>
    <t>PAR-2627-0048</t>
  </si>
  <si>
    <t>PAR-2627-0049</t>
  </si>
  <si>
    <t>PAR-2627-0050</t>
  </si>
  <si>
    <t>PAR-2627-0051</t>
  </si>
  <si>
    <t>PAR-2627-0052</t>
  </si>
  <si>
    <t>PAR-2627-0053</t>
  </si>
  <si>
    <t>PAR-2627-0054</t>
  </si>
  <si>
    <t>PAR-2627-0055</t>
  </si>
  <si>
    <t>PAR-2627-0056</t>
  </si>
  <si>
    <t>cerocero</t>
  </si>
  <si>
    <t>PAR-2627-0057</t>
  </si>
  <si>
    <t>PAR-2627-0058</t>
  </si>
  <si>
    <t>PAR-2627-0059</t>
  </si>
  <si>
    <t>PAR-2627-0060</t>
  </si>
  <si>
    <t>PAR-2627-0061</t>
  </si>
  <si>
    <t>PAR-2627-0062</t>
  </si>
  <si>
    <t>PAR-2627-0063</t>
  </si>
  <si>
    <t>PAR-2627-0064</t>
  </si>
  <si>
    <t>PAR-2627-0065</t>
  </si>
  <si>
    <t>PAR-2627-0066</t>
  </si>
  <si>
    <t>PAR-2627-0067</t>
  </si>
  <si>
    <t>PAR-2627-0068</t>
  </si>
  <si>
    <t>PAR-2627-0069</t>
  </si>
  <si>
    <t>PAR-2627-0070</t>
  </si>
  <si>
    <t>PAR-2627-0071</t>
  </si>
  <si>
    <t>PAR-2627-0072</t>
  </si>
  <si>
    <t>PAR-2627-0073</t>
  </si>
  <si>
    <t>PAR-2627-0074</t>
  </si>
  <si>
    <t>PAR-2627-0075</t>
  </si>
  <si>
    <t>PAR-2627-0076</t>
  </si>
  <si>
    <t>PAR-2627-0077</t>
  </si>
  <si>
    <t>PAR-2627-0078</t>
  </si>
  <si>
    <t>PAR-2627-0079</t>
  </si>
  <si>
    <t>PAR-2627-0080</t>
  </si>
  <si>
    <t>PAR-2627-0081</t>
  </si>
  <si>
    <t>PAR-2627-0082</t>
  </si>
  <si>
    <t>PAR-2627-0083</t>
  </si>
  <si>
    <t>PAR-2627-0084</t>
  </si>
  <si>
    <t>PAR-2627-0085</t>
  </si>
  <si>
    <t>PAR-2627-0086</t>
  </si>
  <si>
    <t>PAR-2627-0087</t>
  </si>
  <si>
    <t>PAR-2627-0088</t>
  </si>
  <si>
    <t>PAR-2627-0089</t>
  </si>
  <si>
    <t>PAR-2627-0090</t>
  </si>
  <si>
    <t>PAR-2627-0091</t>
  </si>
  <si>
    <t>PAR-2627-0092</t>
  </si>
  <si>
    <t>PAR-2627-0093</t>
  </si>
  <si>
    <t>PAR-2627-0094</t>
  </si>
  <si>
    <t>PAR-2627-0095</t>
  </si>
  <si>
    <t>PAR-2627-0096</t>
  </si>
  <si>
    <t>PAR-2627-0097</t>
  </si>
  <si>
    <t>PAR-2627-0098</t>
  </si>
  <si>
    <t>PAR-2627-0099</t>
  </si>
  <si>
    <t>PAR-2627-0100</t>
  </si>
  <si>
    <t>PAR-2627-0101</t>
  </si>
  <si>
    <t>PAR-2627-0102</t>
  </si>
  <si>
    <t>PAR-2627-0103</t>
  </si>
  <si>
    <t>PAR-2627-0104</t>
  </si>
  <si>
    <t>PAR-2627-0105</t>
  </si>
  <si>
    <t>PAR-2627-0106</t>
  </si>
  <si>
    <t>PAR-2627-0107</t>
  </si>
  <si>
    <t>PAR-2627-0108</t>
  </si>
  <si>
    <t>PAR-2627-0109</t>
  </si>
  <si>
    <t>PAR-2627-0110</t>
  </si>
  <si>
    <t>PAR-2627-0111</t>
  </si>
  <si>
    <t>PAR-2627-0112</t>
  </si>
  <si>
    <t>PAR-2627-0113</t>
  </si>
  <si>
    <t>PAR-2627-0114</t>
  </si>
  <si>
    <t>PAR-2627-0115</t>
  </si>
  <si>
    <t>PAR-2627-0116</t>
  </si>
  <si>
    <t>PAR-2627-0117</t>
  </si>
  <si>
    <t>PAR-2627-0118</t>
  </si>
  <si>
    <t>PAR-2627-0119</t>
  </si>
  <si>
    <t>PAR-2627-0120</t>
  </si>
  <si>
    <t>PAR-2627-0121</t>
  </si>
  <si>
    <t>PAR-2627-0122</t>
  </si>
  <si>
    <t>PAR-2627-0123</t>
  </si>
  <si>
    <t>PAR-2627-0124</t>
  </si>
  <si>
    <t>PAR-2627-0125</t>
  </si>
  <si>
    <t>PAR-2627-0126</t>
  </si>
  <si>
    <t>PAR-2627-0127</t>
  </si>
  <si>
    <t>PAR-2627-0128</t>
  </si>
  <si>
    <t>PAR-2627-0129</t>
  </si>
  <si>
    <t>PAR-2627-0130</t>
  </si>
  <si>
    <t>PAR-2627-0131</t>
  </si>
  <si>
    <t>PAR-2627-0132</t>
  </si>
  <si>
    <t>PAR-2627-0133</t>
  </si>
  <si>
    <t>PAR-2627-0134</t>
  </si>
  <si>
    <t>PAR-2627-0135</t>
  </si>
  <si>
    <t>PAR-2627-0136</t>
  </si>
  <si>
    <t>PAR-2627-0137</t>
  </si>
  <si>
    <t>PAR-2627-0138</t>
  </si>
  <si>
    <t>PAR-2627-0139</t>
  </si>
  <si>
    <t>PAR-2627-0140</t>
  </si>
  <si>
    <t>PAR-2627-0141</t>
  </si>
  <si>
    <t>PAR-2627-0142</t>
  </si>
  <si>
    <t>PAR-2627-0143</t>
  </si>
  <si>
    <t>PAR-2627-0144</t>
  </si>
  <si>
    <t>PAR-2627-0145</t>
  </si>
  <si>
    <t>PAR-2627-0146</t>
  </si>
  <si>
    <t>PAR-2627-0147</t>
  </si>
  <si>
    <t>PAR-2627-0148</t>
  </si>
  <si>
    <t>PAR-2627-0149</t>
  </si>
  <si>
    <t>PAR-2627-0150</t>
  </si>
  <si>
    <t>PAR-2627-0151</t>
  </si>
  <si>
    <t>PAR-2627-0152</t>
  </si>
  <si>
    <t>PAR-2627-0153</t>
  </si>
  <si>
    <t>PAR-2627-0154</t>
  </si>
  <si>
    <t>PAR-2627-0155</t>
  </si>
  <si>
    <t>PAR-2627-0156</t>
  </si>
  <si>
    <t>PAR-2627-0157</t>
  </si>
  <si>
    <t>PAR-2627-0158</t>
  </si>
  <si>
    <t>PAR-2627-0159</t>
  </si>
  <si>
    <t>PAR-2627-0160</t>
  </si>
  <si>
    <t>PAR-2627-0161</t>
  </si>
  <si>
    <t>PAR-2627-0162</t>
  </si>
  <si>
    <t>PAR-2627-0163</t>
  </si>
  <si>
    <t>PAR-2627-0164</t>
  </si>
  <si>
    <t>PAR-2627-0165</t>
  </si>
  <si>
    <t>PAR-2627-0166</t>
  </si>
  <si>
    <t>PAR-2627-0167</t>
  </si>
  <si>
    <t>PAR-2627-0168</t>
  </si>
  <si>
    <t>PAR-2627-0169</t>
  </si>
  <si>
    <t>PAR-2627-0170</t>
  </si>
  <si>
    <t>PAR-2627-0171</t>
  </si>
  <si>
    <t>PAR-2627-0172</t>
  </si>
  <si>
    <t>PAR-2627-0173</t>
  </si>
  <si>
    <t>PAR-2627-0174</t>
  </si>
  <si>
    <t>PAR-2627-0175</t>
  </si>
  <si>
    <t>PAR-2627-0176</t>
  </si>
  <si>
    <t>PAR-2627-0177</t>
  </si>
  <si>
    <t>PAR-2627-0178</t>
  </si>
  <si>
    <t>PAR-2627-0179</t>
  </si>
  <si>
    <t>PAR-2627-0180</t>
  </si>
  <si>
    <t>PAR-2627-0181</t>
  </si>
  <si>
    <t>PAR-2627-0182</t>
  </si>
  <si>
    <t>PAR-2627-0183</t>
  </si>
  <si>
    <t>PAR-2627-0184</t>
  </si>
  <si>
    <t>PAR-2627-0185</t>
  </si>
  <si>
    <t>PAR-2627-0186</t>
  </si>
  <si>
    <t>PAR-2627-0187</t>
  </si>
  <si>
    <t>PAR-2627-0188</t>
  </si>
  <si>
    <t>PAR-2627-0189</t>
  </si>
  <si>
    <t>PAR-2627-0190</t>
  </si>
  <si>
    <t>PAR-2627-0191</t>
  </si>
  <si>
    <t>PAR-2627-0192</t>
  </si>
  <si>
    <t>PAR-2627-0193</t>
  </si>
  <si>
    <t>PAR-2627-0194</t>
  </si>
  <si>
    <t>PAR-2627-0195</t>
  </si>
  <si>
    <t>PAR-2627-0196</t>
  </si>
  <si>
    <t>PAR-2627-0197</t>
  </si>
  <si>
    <t>PAR-2627-0198</t>
  </si>
  <si>
    <t>PAR-2627-0199</t>
  </si>
  <si>
    <t>PAR-2627-0200</t>
  </si>
  <si>
    <t>PAR-2627-0201</t>
  </si>
  <si>
    <t>PAR-2627-0202</t>
  </si>
  <si>
    <t>PAR-2627-0203</t>
  </si>
  <si>
    <t>PAR-2627-0204</t>
  </si>
  <si>
    <t>PAR-2627-0205</t>
  </si>
  <si>
    <t>PAR-2627-0206</t>
  </si>
  <si>
    <t>PAR-2627-0207</t>
  </si>
  <si>
    <t>PAR-2627-0208</t>
  </si>
  <si>
    <t>PAR-2627-0209</t>
  </si>
  <si>
    <t>PAR-2627-0210</t>
  </si>
  <si>
    <t>PAR-2627-0211</t>
  </si>
  <si>
    <t>PAR-2627-0212</t>
  </si>
  <si>
    <t>PAR-2627-0213</t>
  </si>
  <si>
    <t>PAR-2627-0214</t>
  </si>
  <si>
    <t>PAR-2627-0215</t>
  </si>
  <si>
    <t>PAR-2627-0216</t>
  </si>
  <si>
    <t>PAR-2627-0217</t>
  </si>
  <si>
    <t>PAR-2627-0218</t>
  </si>
  <si>
    <t>PAR-2627-0219</t>
  </si>
  <si>
    <t>PAR-2627-0220</t>
  </si>
  <si>
    <t>PAR-2627-0221</t>
  </si>
  <si>
    <t>PAR-2627-0222</t>
  </si>
  <si>
    <t>PAR-2627-0223</t>
  </si>
  <si>
    <t>PAR-2627-0224</t>
  </si>
  <si>
    <t>PAR-2627-0225</t>
  </si>
  <si>
    <t>PAR-2627-0226</t>
  </si>
  <si>
    <t>PAR-2627-0227</t>
  </si>
  <si>
    <t>PAR-2627-0228</t>
  </si>
  <si>
    <t>PAR-2627-0229</t>
  </si>
  <si>
    <t>PAR-2627-0230</t>
  </si>
  <si>
    <t>PAR-2627-0231</t>
  </si>
  <si>
    <t>PAR-2627-0232</t>
  </si>
  <si>
    <t>PAR-2627-0233</t>
  </si>
  <si>
    <t>PAR-2627-0234</t>
  </si>
  <si>
    <t>PAR-2627-0235</t>
  </si>
  <si>
    <t>PAR-2627-0236</t>
  </si>
  <si>
    <t>PAR-2627-0237</t>
  </si>
  <si>
    <t>PAR-2627-0238</t>
  </si>
  <si>
    <t>PAR-2627-0239</t>
  </si>
  <si>
    <t>PAR-2627-0240</t>
  </si>
  <si>
    <t>PAR-2627-0241</t>
  </si>
  <si>
    <t>PAR-2627-0242</t>
  </si>
  <si>
    <t>PAR-2627-0243</t>
  </si>
  <si>
    <t>PAR-2627-0244</t>
  </si>
  <si>
    <t>PAR-2627-0245</t>
  </si>
  <si>
    <t>PAR-2627-0246</t>
  </si>
  <si>
    <t>PAR-2627-0247</t>
  </si>
  <si>
    <t>PAR-2627-0248</t>
  </si>
  <si>
    <t>PAR-2627-0249</t>
  </si>
  <si>
    <t>PAR-2627-0250</t>
  </si>
  <si>
    <t>PAR-2627-0251</t>
  </si>
  <si>
    <t>PAR-2627-0252</t>
  </si>
  <si>
    <t>PAR-2627-0253</t>
  </si>
  <si>
    <t>PAR-2627-0254</t>
  </si>
  <si>
    <t>PAR-2627-0255</t>
  </si>
  <si>
    <t>PAR-2627-0256</t>
  </si>
  <si>
    <t>PAR-2627-0257</t>
  </si>
  <si>
    <t>PAR-2627-0258</t>
  </si>
  <si>
    <t>PAR-2627-0259</t>
  </si>
  <si>
    <t>PAR-2627-0260</t>
  </si>
  <si>
    <t>PAR-2627-0261</t>
  </si>
  <si>
    <t>PAR-2627-0262</t>
  </si>
  <si>
    <t>PAR-2627-0263</t>
  </si>
  <si>
    <t>PAR-2627-0265</t>
  </si>
  <si>
    <t>PAR-2627-0266</t>
  </si>
  <si>
    <t>PAR-2627-0267</t>
  </si>
  <si>
    <t>PAR-2627-0268</t>
  </si>
  <si>
    <t>PAR-2627-0269</t>
  </si>
  <si>
    <t>PAR-2627-0270</t>
  </si>
  <si>
    <t>PAR-2627-0271</t>
  </si>
  <si>
    <t>PAR-2627-0272</t>
  </si>
  <si>
    <t>PAR-2627-0273</t>
  </si>
  <si>
    <t>PAR-2627-0274</t>
  </si>
  <si>
    <t>PAR-2627-0275</t>
  </si>
  <si>
    <t>PAR-2627-0276</t>
  </si>
  <si>
    <t>PAR-2627-0277</t>
  </si>
  <si>
    <t>PAR-2627-0278</t>
  </si>
  <si>
    <t>PAR-2627-0279</t>
  </si>
  <si>
    <t>PAR-2627-0280</t>
  </si>
  <si>
    <t>PAR-2627-0281</t>
  </si>
  <si>
    <t>PAR-2627-0282</t>
  </si>
  <si>
    <t>PAR-2627-0283</t>
  </si>
  <si>
    <t>PAR-2627-0284</t>
  </si>
  <si>
    <t>PAR-2627-0285</t>
  </si>
  <si>
    <t>PAR-2627-0286</t>
  </si>
  <si>
    <t>PAR-2627-0287</t>
  </si>
  <si>
    <t>PAR-2627-0288</t>
  </si>
  <si>
    <t>PAR-2627-0289</t>
  </si>
  <si>
    <t>PAR-2627-0290</t>
  </si>
  <si>
    <t>PAR-2627-0291</t>
  </si>
  <si>
    <t>PAR-2627-0292</t>
  </si>
  <si>
    <t>PAR-2627-0293</t>
  </si>
  <si>
    <t>PAR-2627-0294</t>
  </si>
  <si>
    <t>PAR-2627-0295</t>
  </si>
  <si>
    <t>PAR-2627-0296</t>
  </si>
  <si>
    <t>PAR-2627-0297</t>
  </si>
  <si>
    <t>PAR-2627-0298</t>
  </si>
  <si>
    <t>PAR-2627-0299</t>
  </si>
  <si>
    <t>PAR-2627-0300</t>
  </si>
  <si>
    <t>PAR-2627-0301</t>
  </si>
  <si>
    <t>PAR-2627-0302</t>
  </si>
  <si>
    <t>PAR-2627-0303</t>
  </si>
  <si>
    <t>vb1</t>
  </si>
  <si>
    <t>PAR-2627-0304</t>
  </si>
  <si>
    <t>vb2</t>
  </si>
  <si>
    <t>PAR-2627-0305</t>
  </si>
  <si>
    <t>vb3</t>
  </si>
  <si>
    <t>PAR-2627-0306</t>
  </si>
  <si>
    <t>vb4</t>
  </si>
  <si>
    <t>PAR-2627-0307</t>
  </si>
  <si>
    <t>vb5</t>
  </si>
  <si>
    <t>PAR-2627-0308</t>
  </si>
  <si>
    <t>vb6</t>
  </si>
  <si>
    <t>PAR-2627-0309</t>
  </si>
  <si>
    <t>vb7</t>
  </si>
  <si>
    <t>PAR-2627-0310</t>
  </si>
  <si>
    <t>PAR-2627-0311</t>
  </si>
  <si>
    <t>PAR-2627-0312</t>
  </si>
  <si>
    <t>PAR-2627-0313</t>
  </si>
  <si>
    <t>PAR-2627-0314</t>
  </si>
  <si>
    <t>PAR-2627-0315</t>
  </si>
  <si>
    <t>PAR-2627-0316</t>
  </si>
  <si>
    <t>PAR-2627-0317</t>
  </si>
  <si>
    <t>PAR-2627-0318</t>
  </si>
  <si>
    <t>PAR-2627-0319</t>
  </si>
  <si>
    <t>PAR-2627-0320</t>
  </si>
  <si>
    <t>PAR-2627-0321</t>
  </si>
  <si>
    <t>PAR-2627-0322</t>
  </si>
  <si>
    <t>PAR-2627-0323</t>
  </si>
  <si>
    <t>PAR-2627-0324</t>
  </si>
  <si>
    <t>PAR-2627-0325</t>
  </si>
  <si>
    <t>IdPartit</t>
  </si>
  <si>
    <t>NomJugador</t>
  </si>
  <si>
    <t>Equip</t>
  </si>
  <si>
    <t>Assisteix</t>
  </si>
  <si>
    <t>DataRegistre</t>
  </si>
  <si>
    <t>P-0001</t>
  </si>
  <si>
    <t>P-0002</t>
  </si>
  <si>
    <t>P-0003</t>
  </si>
  <si>
    <t>Esport</t>
  </si>
  <si>
    <t>Hores</t>
  </si>
  <si>
    <t>Camps</t>
  </si>
  <si>
    <t>DataInici</t>
  </si>
  <si>
    <t>Curs</t>
  </si>
  <si>
    <t>Dia</t>
  </si>
  <si>
    <t>Grups</t>
  </si>
  <si>
    <t>CorreoDelegat</t>
  </si>
  <si>
    <t>Festius</t>
  </si>
  <si>
    <t>Voltes</t>
  </si>
  <si>
    <t>13:00</t>
  </si>
  <si>
    <t>2627</t>
  </si>
  <si>
    <t>Dimarts</t>
  </si>
  <si>
    <t>A</t>
  </si>
  <si>
    <t>14:00</t>
  </si>
  <si>
    <t>15:00</t>
  </si>
  <si>
    <t>B</t>
  </si>
  <si>
    <t>Dimecres</t>
  </si>
  <si>
    <t>05/11/2026</t>
  </si>
  <si>
    <t>Dijous</t>
  </si>
  <si>
    <t>Únic</t>
  </si>
  <si>
    <t>Grup</t>
  </si>
  <si>
    <t>Jornada</t>
  </si>
  <si>
    <t>Partit</t>
  </si>
  <si>
    <t>DataPartit</t>
  </si>
  <si>
    <t>HoraPartit</t>
  </si>
  <si>
    <t>Camp</t>
  </si>
  <si>
    <t>EquipLocal</t>
  </si>
  <si>
    <t>ResultatLocal</t>
  </si>
  <si>
    <t>ResultatVisitant</t>
  </si>
  <si>
    <t>EquipVisitant</t>
  </si>
  <si>
    <t>EstatPartit</t>
  </si>
  <si>
    <t>EmailLocal</t>
  </si>
  <si>
    <t>EmailVisitant</t>
  </si>
  <si>
    <t>TG_Loc</t>
  </si>
  <si>
    <t>TV_Loc</t>
  </si>
  <si>
    <t>TG_Vis</t>
  </si>
  <si>
    <t>TV_Vis</t>
  </si>
  <si>
    <t>Gols_Loc_Noms</t>
  </si>
  <si>
    <t>Gols_Vis_Noms</t>
  </si>
  <si>
    <t>P-0004</t>
  </si>
  <si>
    <t>Pendent</t>
  </si>
  <si>
    <t>P-0005</t>
  </si>
  <si>
    <t>P-0006</t>
  </si>
  <si>
    <t>P-0007</t>
  </si>
  <si>
    <t>P-0008</t>
  </si>
  <si>
    <t>P-0009</t>
  </si>
  <si>
    <t>P-0010</t>
  </si>
  <si>
    <t>P-0011</t>
  </si>
  <si>
    <t>P-0012</t>
  </si>
  <si>
    <t>P-0013</t>
  </si>
  <si>
    <t>P-0014</t>
  </si>
  <si>
    <t>P-0015</t>
  </si>
  <si>
    <t>P-0016</t>
  </si>
  <si>
    <t>P-0017</t>
  </si>
  <si>
    <t>P-0018</t>
  </si>
  <si>
    <t>P-0019</t>
  </si>
  <si>
    <t>P-0020</t>
  </si>
  <si>
    <t>P-0021</t>
  </si>
  <si>
    <t>P-0022</t>
  </si>
  <si>
    <t>P-0023</t>
  </si>
  <si>
    <t>P-0024</t>
  </si>
  <si>
    <t>P-0025</t>
  </si>
  <si>
    <t>P-0026</t>
  </si>
  <si>
    <t>P-0027</t>
  </si>
  <si>
    <t>P-0028</t>
  </si>
  <si>
    <t>P-0029</t>
  </si>
  <si>
    <t>P-0030</t>
  </si>
  <si>
    <t>P-0031</t>
  </si>
  <si>
    <t>P-0032</t>
  </si>
  <si>
    <t>P-0033</t>
  </si>
  <si>
    <t>P-0034</t>
  </si>
  <si>
    <t>P-0035</t>
  </si>
  <si>
    <t>P-0036</t>
  </si>
  <si>
    <t>P-0037</t>
  </si>
  <si>
    <t>P-0038</t>
  </si>
  <si>
    <t>P-0039</t>
  </si>
  <si>
    <t>P-0040</t>
  </si>
  <si>
    <t>P-0041</t>
  </si>
  <si>
    <t>P-0042</t>
  </si>
  <si>
    <t>P-0043</t>
  </si>
  <si>
    <t>P-0044</t>
  </si>
  <si>
    <t>P-0045</t>
  </si>
  <si>
    <t>P-0046</t>
  </si>
  <si>
    <t>P-0047</t>
  </si>
  <si>
    <t>P-0048</t>
  </si>
  <si>
    <t>P-0049</t>
  </si>
  <si>
    <t>P-0050</t>
  </si>
  <si>
    <t>P-0051</t>
  </si>
  <si>
    <t>P-0052</t>
  </si>
  <si>
    <t>P-0053</t>
  </si>
  <si>
    <t>P-0054</t>
  </si>
  <si>
    <t>P-0055</t>
  </si>
  <si>
    <t>P-0056</t>
  </si>
  <si>
    <t>P-0057</t>
  </si>
  <si>
    <t>P-0058</t>
  </si>
  <si>
    <t>P-0059</t>
  </si>
  <si>
    <t>P-0060</t>
  </si>
  <si>
    <t>P-0061</t>
  </si>
  <si>
    <t>P-0062</t>
  </si>
  <si>
    <t>P-0063</t>
  </si>
  <si>
    <t>P-0064</t>
  </si>
  <si>
    <t>P-0065</t>
  </si>
  <si>
    <t>P-0066</t>
  </si>
  <si>
    <t>P-0067</t>
  </si>
  <si>
    <t>P-0068</t>
  </si>
  <si>
    <t>P-0069</t>
  </si>
  <si>
    <t>P-0070</t>
  </si>
  <si>
    <t>P-0071</t>
  </si>
  <si>
    <t>P-0072</t>
  </si>
  <si>
    <t>P-0073</t>
  </si>
  <si>
    <t>P-0074</t>
  </si>
  <si>
    <t>P-0075</t>
  </si>
  <si>
    <t>P-0076</t>
  </si>
  <si>
    <t>P-0077</t>
  </si>
  <si>
    <t>P-0078</t>
  </si>
  <si>
    <t>P-0079</t>
  </si>
  <si>
    <t>P-0080</t>
  </si>
  <si>
    <t>P-0081</t>
  </si>
  <si>
    <t>P-0082</t>
  </si>
  <si>
    <t>P-0083</t>
  </si>
  <si>
    <t>P-0084</t>
  </si>
  <si>
    <t>P-0085</t>
  </si>
  <si>
    <t>P-0086</t>
  </si>
  <si>
    <t>P-0087</t>
  </si>
  <si>
    <t>P-0088</t>
  </si>
  <si>
    <t>P-0089</t>
  </si>
  <si>
    <t>P-0090</t>
  </si>
  <si>
    <t>P-0091</t>
  </si>
  <si>
    <t>P-0092</t>
  </si>
  <si>
    <t>P-0093</t>
  </si>
  <si>
    <t>P-0094</t>
  </si>
  <si>
    <t>P-0095</t>
  </si>
  <si>
    <t>P-0096</t>
  </si>
  <si>
    <t>P-0097</t>
  </si>
  <si>
    <t>P-0098</t>
  </si>
  <si>
    <t>P-0099</t>
  </si>
  <si>
    <t>P-0100</t>
  </si>
  <si>
    <t>P-0101</t>
  </si>
  <si>
    <t>P-0102</t>
  </si>
  <si>
    <t>P-0103</t>
  </si>
  <si>
    <t>P-0104</t>
  </si>
  <si>
    <t>P-0105</t>
  </si>
  <si>
    <t>P-0106</t>
  </si>
  <si>
    <t>P-0107</t>
  </si>
  <si>
    <t>P-0108</t>
  </si>
  <si>
    <t>P-0109</t>
  </si>
  <si>
    <t>P-0110</t>
  </si>
  <si>
    <t>P-0111</t>
  </si>
  <si>
    <t>P-0112</t>
  </si>
  <si>
    <t>P-0113</t>
  </si>
  <si>
    <t>P-0114</t>
  </si>
  <si>
    <t>P-0115</t>
  </si>
  <si>
    <t>P-0116</t>
  </si>
  <si>
    <t>P-0117</t>
  </si>
  <si>
    <t>P-0118</t>
  </si>
  <si>
    <t>P-0119</t>
  </si>
  <si>
    <t>P-0120</t>
  </si>
  <si>
    <t>P-0121</t>
  </si>
  <si>
    <t>P-0122</t>
  </si>
  <si>
    <t>P-0123</t>
  </si>
  <si>
    <t>P-0124</t>
  </si>
  <si>
    <t>P-0125</t>
  </si>
  <si>
    <t>16:00</t>
  </si>
  <si>
    <t>P-0126</t>
  </si>
  <si>
    <t>16:45</t>
  </si>
  <si>
    <t>P-0127</t>
  </si>
  <si>
    <t>P-0128</t>
  </si>
  <si>
    <t>P-0129</t>
  </si>
  <si>
    <t>P-0130</t>
  </si>
  <si>
    <t>P-0131</t>
  </si>
  <si>
    <t>P-0132</t>
  </si>
  <si>
    <t>P-0133</t>
  </si>
  <si>
    <t>P-0134</t>
  </si>
  <si>
    <t>P-0135</t>
  </si>
  <si>
    <t>P-0136</t>
  </si>
  <si>
    <t>P-0137</t>
  </si>
  <si>
    <t>P-0138</t>
  </si>
  <si>
    <t>P-0139</t>
  </si>
  <si>
    <t>P-0140</t>
  </si>
  <si>
    <t>P-0141</t>
  </si>
  <si>
    <t>P-0142</t>
  </si>
  <si>
    <t>P-0143</t>
  </si>
  <si>
    <t>P-0144</t>
  </si>
  <si>
    <t>P-0145</t>
  </si>
  <si>
    <t>P-0146</t>
  </si>
  <si>
    <t>P-0147</t>
  </si>
  <si>
    <t>P-0148</t>
  </si>
  <si>
    <t>P-0149</t>
  </si>
  <si>
    <t>P-0150</t>
  </si>
  <si>
    <t>P-0151</t>
  </si>
  <si>
    <t>P-0152</t>
  </si>
  <si>
    <t>P-0153</t>
  </si>
  <si>
    <t>P-0154</t>
  </si>
  <si>
    <t>P-0155</t>
  </si>
  <si>
    <t>P-0156</t>
  </si>
  <si>
    <t>P-0157</t>
  </si>
  <si>
    <t>P-0158</t>
  </si>
  <si>
    <t>P-0159</t>
  </si>
  <si>
    <t>P-0160</t>
  </si>
  <si>
    <t>P-0161</t>
  </si>
  <si>
    <t>P-0162</t>
  </si>
  <si>
    <t>P-0163</t>
  </si>
  <si>
    <t>P-0164</t>
  </si>
  <si>
    <t>P-0165</t>
  </si>
  <si>
    <t>P-0166</t>
  </si>
  <si>
    <t>P-0167</t>
  </si>
  <si>
    <t>P-0168</t>
  </si>
  <si>
    <t>P-0169</t>
  </si>
  <si>
    <t>P-0170</t>
  </si>
  <si>
    <t>P-0171</t>
  </si>
  <si>
    <t>P-0172</t>
  </si>
  <si>
    <t>P-0173</t>
  </si>
  <si>
    <t>P-0174</t>
  </si>
  <si>
    <t>P-0175</t>
  </si>
  <si>
    <t>P-0176</t>
  </si>
  <si>
    <t>P-0177</t>
  </si>
  <si>
    <t>P-0178</t>
  </si>
  <si>
    <t>P-0179</t>
  </si>
  <si>
    <t>P-0180</t>
  </si>
  <si>
    <t>P-0181</t>
  </si>
  <si>
    <t>P-0182</t>
  </si>
  <si>
    <t>P-0183</t>
  </si>
  <si>
    <t>P-0184</t>
  </si>
  <si>
    <t>P-0185</t>
  </si>
  <si>
    <t>P-0186</t>
  </si>
  <si>
    <t>P-0187</t>
  </si>
  <si>
    <t>P-0188</t>
  </si>
  <si>
    <t>P-0189</t>
  </si>
  <si>
    <t>P-0190</t>
  </si>
  <si>
    <t>P-0191</t>
  </si>
  <si>
    <t>P-0192</t>
  </si>
  <si>
    <t>P-0193</t>
  </si>
  <si>
    <t>P-0194</t>
  </si>
  <si>
    <t>P-0195</t>
  </si>
  <si>
    <t>P-0196</t>
  </si>
  <si>
    <t>P-0197</t>
  </si>
  <si>
    <t>P-0198</t>
  </si>
  <si>
    <t>P-0199</t>
  </si>
  <si>
    <t>P-0200</t>
  </si>
  <si>
    <t>P-0201</t>
  </si>
  <si>
    <t>P-0202</t>
  </si>
  <si>
    <t>P-0203</t>
  </si>
  <si>
    <t>P-0204</t>
  </si>
  <si>
    <t>P-0205</t>
  </si>
  <si>
    <t>P-0206</t>
  </si>
  <si>
    <t>P-0207</t>
  </si>
  <si>
    <t>P-0208</t>
  </si>
  <si>
    <t>P-0209</t>
  </si>
  <si>
    <t>P-0210</t>
  </si>
  <si>
    <t>P-0211</t>
  </si>
  <si>
    <t>P-0212</t>
  </si>
  <si>
    <t>P-0213</t>
  </si>
  <si>
    <t>P-0214</t>
  </si>
  <si>
    <t>P-0215</t>
  </si>
  <si>
    <t>P-0216</t>
  </si>
  <si>
    <t>P-0217</t>
  </si>
  <si>
    <t>P-0218</t>
  </si>
  <si>
    <t>P-0219</t>
  </si>
  <si>
    <t>P-0220</t>
  </si>
  <si>
    <t>P-0221</t>
  </si>
  <si>
    <t>P-0222</t>
  </si>
  <si>
    <t>P-0223</t>
  </si>
  <si>
    <t>P-0224</t>
  </si>
  <si>
    <t>P-0225</t>
  </si>
  <si>
    <t>P-0226</t>
  </si>
  <si>
    <t>P-0227</t>
  </si>
  <si>
    <t>P-0228</t>
  </si>
  <si>
    <t>P-0229</t>
  </si>
  <si>
    <t>P-0230</t>
  </si>
  <si>
    <t>P-0231</t>
  </si>
  <si>
    <t>P-0232</t>
  </si>
  <si>
    <t>P-0233</t>
  </si>
  <si>
    <t>P-0234</t>
  </si>
  <si>
    <t>P-0235</t>
  </si>
  <si>
    <t>P-0236</t>
  </si>
  <si>
    <t>P-0237</t>
  </si>
  <si>
    <t>P-0238</t>
  </si>
  <si>
    <t>P-0239</t>
  </si>
  <si>
    <t>P-0240</t>
  </si>
  <si>
    <t>P-0241</t>
  </si>
  <si>
    <t>P-0242</t>
  </si>
  <si>
    <t>P-0243</t>
  </si>
  <si>
    <t>P-0244</t>
  </si>
  <si>
    <t>P-0245</t>
  </si>
  <si>
    <t>P-0246</t>
  </si>
  <si>
    <t>P-0247</t>
  </si>
  <si>
    <t>P-0248</t>
  </si>
  <si>
    <t>P-0249</t>
  </si>
  <si>
    <t>P-0250</t>
  </si>
  <si>
    <t>P-0251</t>
  </si>
  <si>
    <t>P-0252</t>
  </si>
  <si>
    <t>P-0253</t>
  </si>
  <si>
    <t>P-0254</t>
  </si>
  <si>
    <t>P-0255</t>
  </si>
  <si>
    <t>P-0256</t>
  </si>
  <si>
    <t>P-0257</t>
  </si>
  <si>
    <t>P-0258</t>
  </si>
  <si>
    <t>P-0259</t>
  </si>
  <si>
    <t>P-0260</t>
  </si>
  <si>
    <t>P-0261</t>
  </si>
  <si>
    <t>P-0262</t>
  </si>
  <si>
    <t>P-0263</t>
  </si>
  <si>
    <t>P-0264</t>
  </si>
  <si>
    <t>P-0265</t>
  </si>
  <si>
    <t>P-0266</t>
  </si>
  <si>
    <t>P-0267</t>
  </si>
  <si>
    <t>P-0268</t>
  </si>
  <si>
    <t>P-0269</t>
  </si>
  <si>
    <t>P-0270</t>
  </si>
  <si>
    <t>P-0271</t>
  </si>
  <si>
    <t>P-0272</t>
  </si>
  <si>
    <t>P-0273</t>
  </si>
  <si>
    <t>P-0274</t>
  </si>
  <si>
    <t>P-0275</t>
  </si>
  <si>
    <t>P-0276</t>
  </si>
  <si>
    <t>P-0277</t>
  </si>
  <si>
    <t>P-0278</t>
  </si>
  <si>
    <t>P-0279</t>
  </si>
  <si>
    <t>P-0280</t>
  </si>
  <si>
    <t>P-0281</t>
  </si>
  <si>
    <t>P-0282</t>
  </si>
  <si>
    <t>P-0283</t>
  </si>
  <si>
    <t>P-0284</t>
  </si>
  <si>
    <t>P-0285</t>
  </si>
  <si>
    <t>P-0286</t>
  </si>
  <si>
    <t>P-0287</t>
  </si>
  <si>
    <t>P-0288</t>
  </si>
  <si>
    <t>P-0289</t>
  </si>
  <si>
    <t>P-0290</t>
  </si>
  <si>
    <t>P-0291</t>
  </si>
  <si>
    <t>P-0292</t>
  </si>
  <si>
    <t>P-0293</t>
  </si>
  <si>
    <t>P-0294</t>
  </si>
  <si>
    <t>P-0295</t>
  </si>
  <si>
    <t>P-0296</t>
  </si>
  <si>
    <t>P-0297</t>
  </si>
  <si>
    <t>P-0298</t>
  </si>
  <si>
    <t>P-0299</t>
  </si>
  <si>
    <t>P-0300</t>
  </si>
  <si>
    <t>P-0301</t>
  </si>
  <si>
    <t>P-0302</t>
  </si>
  <si>
    <t>P-0303</t>
  </si>
  <si>
    <t>P-0304</t>
  </si>
  <si>
    <t>P-0305</t>
  </si>
  <si>
    <t>P-0306</t>
  </si>
  <si>
    <t>P-0307</t>
  </si>
  <si>
    <t>P-0308</t>
  </si>
  <si>
    <t>P-0309</t>
  </si>
  <si>
    <t>14:30</t>
  </si>
  <si>
    <t>P-0310</t>
  </si>
  <si>
    <t>P-0311</t>
  </si>
  <si>
    <t>P-0312</t>
  </si>
  <si>
    <t>P-0313</t>
  </si>
  <si>
    <t>P-0314</t>
  </si>
  <si>
    <t>P-0315</t>
  </si>
  <si>
    <t>P-0316</t>
  </si>
  <si>
    <t>P-0317</t>
  </si>
  <si>
    <t>P-0318</t>
  </si>
  <si>
    <t>P-0319</t>
  </si>
  <si>
    <t>P-0320</t>
  </si>
  <si>
    <t>P-0321</t>
  </si>
  <si>
    <t>P-0322</t>
  </si>
  <si>
    <t>P-0323</t>
  </si>
  <si>
    <t>P-0324</t>
  </si>
  <si>
    <t>P-0325</t>
  </si>
  <si>
    <t>P-0326</t>
  </si>
  <si>
    <t>P-0327</t>
  </si>
  <si>
    <t>P-0328</t>
  </si>
  <si>
    <t>P-0329</t>
  </si>
  <si>
    <t>P-0330</t>
  </si>
  <si>
    <t>P-0331</t>
  </si>
  <si>
    <t>P-0332</t>
  </si>
  <si>
    <t>P-0333</t>
  </si>
  <si>
    <t>P-0334</t>
  </si>
  <si>
    <t>P-0335</t>
  </si>
  <si>
    <t>P-0336</t>
  </si>
  <si>
    <t>P-0337</t>
  </si>
  <si>
    <t>P-0338</t>
  </si>
  <si>
    <t>PJ</t>
  </si>
  <si>
    <t>Targetes Grogues</t>
  </si>
  <si>
    <t>Targetes Vermelles</t>
  </si>
  <si>
    <t>aston birras</t>
  </si>
  <si>
    <t>FUTBOL 7 SENSE EQUIP DIMARTS</t>
  </si>
  <si>
    <t>FUTBOL 7 SENSE EQUIP DIMECRES</t>
  </si>
  <si>
    <t>AL KHOL KON</t>
  </si>
  <si>
    <t>Gols</t>
  </si>
  <si>
    <t>Classificació Oficial - Futbol 7 intracampus dimarts (Grup A)</t>
  </si>
  <si>
    <t>Pos</t>
  </si>
  <si>
    <t>PG</t>
  </si>
  <si>
    <t>PE</t>
  </si>
  <si>
    <t>PP</t>
  </si>
  <si>
    <t>GF</t>
  </si>
  <si>
    <t>GC</t>
  </si>
  <si>
    <t>DG</t>
  </si>
  <si>
    <t>Punts</t>
  </si>
  <si>
    <t>1º</t>
  </si>
  <si>
    <t>2º</t>
  </si>
  <si>
    <t>3º</t>
  </si>
  <si>
    <t>4º</t>
  </si>
  <si>
    <t>5º</t>
  </si>
  <si>
    <t>Classificació Oficial - Futbol 7 intracampus dimarts (Grup B)</t>
  </si>
  <si>
    <t>Classificació Oficial - Futbol 7 intracampus dimarts (Grup COPA)</t>
  </si>
  <si>
    <t>Classificació Oficial - Futbol 7 intracampus dimecres (Grup A)</t>
  </si>
  <si>
    <t>Classificació Oficial - Futbol 7 intracampus dimecres (Grup B)</t>
  </si>
  <si>
    <t>Classificació Oficial - Futbol 7 intracampus dimecres (Grup COPA)</t>
  </si>
  <si>
    <t>Classificació Oficial - Bàsquet 3x3 intracampus dijous (Grup Únic)</t>
  </si>
  <si>
    <t>6º</t>
  </si>
  <si>
    <t>Classificació Oficial - Bàsquet 3x3 intracampus dijous (Grup COPA)</t>
  </si>
  <si>
    <t>Classificació Oficial - Futbol 7 Dimarts (Grup Fase Final)</t>
  </si>
  <si>
    <t>Guanyador SF1</t>
  </si>
  <si>
    <t>Guanyador SF2</t>
  </si>
  <si>
    <t>Llet &amp; Cereal FC</t>
  </si>
  <si>
    <t>Los Cafeteros</t>
  </si>
  <si>
    <t>Perdedor SF1</t>
  </si>
  <si>
    <t>Perdedor SF2</t>
  </si>
  <si>
    <t>Classificació Oficial - Futbol 7 Dimecres (Grup Fase Final)</t>
  </si>
  <si>
    <t>FC Barcelona Intracampus</t>
  </si>
  <si>
    <t>Quart Equip Dimecres</t>
  </si>
  <si>
    <t>Classificació Oficial - Bàsquet (Grup Fase Final)</t>
  </si>
  <si>
    <t>Bàsquet Team 1</t>
  </si>
  <si>
    <t>Bàsquet Team 2</t>
  </si>
  <si>
    <t>Correu Delegat</t>
  </si>
  <si>
    <t>Assumpte</t>
  </si>
  <si>
    <t>Cos del Missatge (HTML)</t>
  </si>
  <si>
    <t>PDF_Calendar</t>
  </si>
  <si>
    <t>PDF_Classifica</t>
  </si>
  <si>
    <t>GUIA RÀPIDA D'IMPORTACIÓ DE MÒDULS VBA - MULTIESPORTS UAB</t>
  </si>
  <si>
    <t>PAS 1: Descarregar els Mòduls .bas</t>
  </si>
  <si>
    <t>Descarrega des del panell STUDIO de la dreta els 9 fitxers .bas refactoritzats:</t>
  </si>
  <si>
    <t xml:space="preserve">   - modGlobals_Utils-v3.bas</t>
  </si>
  <si>
    <t>Funcions globals, rutes OneDrive/SharePoint i constants de color.</t>
  </si>
  <si>
    <t xml:space="preserve">   - modCalendarEngine-v9.bas</t>
  </si>
  <si>
    <t>Motor de calendaris multi-esport amb respecte estricte de la Columna D [Hores].</t>
  </si>
  <si>
    <t xml:space="preserve">   - modCopa-v2.bas</t>
  </si>
  <si>
    <t>Generador de quadres i calendaris eliminatoris de Copa.</t>
  </si>
  <si>
    <t xml:space="preserve">   - modStandings-v8.bas</t>
  </si>
  <si>
    <t>Càlcul oficial de classificacions en RAM i exportació a PDF corporatiu.</t>
  </si>
  <si>
    <t xml:space="preserve">   - modFaseFinal-v12.bas</t>
  </si>
  <si>
    <t>Generació automàtica de Fases Finals eliminatòries (1r vs 4t / 2n vs 3r) per competició.</t>
  </si>
  <si>
    <t xml:space="preserve">   - modExport_CalendariSetmanal.bas</t>
  </si>
  <si>
    <t>Exportador de calendaris setmanals per filtres de dates en PDF.</t>
  </si>
  <si>
    <t xml:space="preserve">   - modExport_CalendariPublic.bas</t>
  </si>
  <si>
    <t>Exportador de la còpia neta sense macros Calendari_Public.xlsx.</t>
  </si>
  <si>
    <t xml:space="preserve">   - modExport_PowerAutomate-v2.bas</t>
  </si>
  <si>
    <t>Taula ResumCorreus per a l'enviament automàtic de correus a delegats.</t>
  </si>
  <si>
    <t xml:space="preserve">   - modSincronitza_Calendari-v2.bas</t>
  </si>
  <si>
    <t>Sincronitzador intel·ligent entre el llibre de treball i el Calendari Públic.</t>
  </si>
  <si>
    <t>PAS 2: Importar a l'Editor de VBA d'Excel</t>
  </si>
  <si>
    <t>1. Obre aquest llibre a Excel i premeu ALT + F11.</t>
  </si>
  <si>
    <t>2. Si hi ha mòduls anteriors, fes clic dret sobre cadascun i selecciona "Quitar / Remove".</t>
  </si>
  <si>
    <t>3. Ves al menú: Archivo / Fitxer ➔ Importar archivo / Importar fitxer...</t>
  </si>
  <si>
    <t>4. Selecciona els 9 fitxers .bas descarregats i importa'ls un per un.</t>
  </si>
  <si>
    <t>PAS 3: Ordre Recomanat d'Execució de les Macros</t>
  </si>
  <si>
    <t>1. Executa GenerarCalendariLliga_PerGrup per crear la lliga regular.</t>
  </si>
  <si>
    <t>2. Executa GenerarCopa_PrimeraRonda per afegir el torneig de Copa.</t>
  </si>
  <si>
    <t>3. Executa GenerarIExportarClassificacionsPerEsportUAB per calcular les taules oficials.</t>
  </si>
  <si>
    <t>4. Executa GenerarFasesFinalsUAB per afegir les eliminatòries finals.</t>
  </si>
  <si>
    <t>5. Executa ExportarACalendariPublic per generar Calendari_Public.xlsx.</t>
  </si>
  <si>
    <t>6. Executa GenerarResumCorreusDelegatsData per preparar la notificació a Power Automate.</t>
  </si>
  <si>
    <t>Per digitalitzar la recollida de dades i eliminar el paper a peu de pista, tenim tres opcions principals adaptades a l'ecosistema del SAF UAB, des de la solucions que ja tenim programada fins a eines de Microsoft 365:</t>
  </si>
  <si>
    <t>1. Opció Recomanada: Utilitzar la Webapp Streamlit (webapp_classificacions.py)</t>
  </si>
  <si>
    <t>Ja tenim programat i integrat el Panell d'Àrbitres dins de l'aplicació web Python del projecte.</t>
  </si>
  <si>
    <t>Com funciona a peu de pista:</t>
  </si>
  <si>
    <t>L'àrbitre o delegat accedeix al web des del mòbil o tauleta (mitjançant un enllaç o codi QR a la instal·lació).</t>
  </si>
  <si>
    <t>Entra a la pestanya 🔒 Àrea Privada Àrbitres i posa la contrasenya d'accés (UAB2026).</t>
  </si>
  <si>
    <t>Selecciona el partit pendents del desplegable.</t>
  </si>
  <si>
    <t>Introdueix els gols locals/visitants, targetes grogues/vermelles i els golejadors (ex: Pérez (2), Marc (1)).</t>
  </si>
  <si>
    <t>En prémer "Validar Acta", les dades s'escriuen directament al fitxer Excel (Plantilla_MultiEsports_UAB.xlsx) i la classificació, pitxitxis i Fair Play s'actualitzen a l'instant per al públic.</t>
  </si>
  <si>
    <t>Com implementar-ho:</t>
  </si>
  <si>
    <t>Es pot executar en un servidor local del SAF o desplegar gratuïtament a la xarxa en servidors com Streamlit Community Cloud o servidors de la UAB.</t>
  </si>
  <si>
    <t>2. Opció Microsoft 365: Formulari de Microsoft Forms + Power Automate</t>
  </si>
  <si>
    <t>Si preferiu aprofitar la infraestructura de Microsoft Office 365 de la UAB sense gestionar servidors Python:</t>
  </si>
  <si>
    <t>Com funciona:</t>
  </si>
  <si>
    <t>Es crea un formulari a Microsoft Forms amb els camps de l'acta (ID Partit, Marcador, Targetes, Golejadors i Observacions).</t>
  </si>
  <si>
    <t>Es col·loca un codi QR enganxat a la taula de control / camp.</t>
  </si>
  <si>
    <t>L'àrbitre escaneja el QR amb el mòbil al final del partit i envia la informació.</t>
  </si>
  <si>
    <t>Un flux de Power Automate rep la resposta i actualitza automàticament la fila corresponent del fitxer Excel guardat a OneDrive / SharePoint.</t>
  </si>
  <si>
    <t>3. Opció App Mòbil Avançada: Microsoft Power Apps o AppSheet</t>
  </si>
  <si>
    <t>Per a una experiència d'aplicació nativa de telèfon mòbil:</t>
  </si>
  <si>
    <t>Es dissenya una interfície visual d'aplicació connectada a l'Excel de SharePoint.</t>
  </si>
  <si>
    <t>Permet seleccionar partits de la jornada, passar llista als jugadors inscrits des del full Consolidat i incloure la signatura digital en pantalla dels capitans i de l'àrbitre amb el dit abans de tancar l'acta.</t>
  </si>
  <si>
    <t>💡 Recomanació d'Implantació:</t>
  </si>
  <si>
    <t>El mètode més directe i immediat és posar en marxa la Webapp Streamlit (webapp_classificacions.py), ja que inclou totes les regles de validació, càlcul de punts i actualització d'Excel sense haver de configurar res de zero.</t>
  </si>
  <si>
    <t>📱 Vols que preparem una guia ràpida pas a pas o un codi QR per desplegar la webapp perquè els àrbitres hi puguin accedir directament des del mòbil?</t>
  </si>
  <si>
    <t>Aquí tens la guia pas a pas per desplegar l'aplicació web de forma totalment gratuïta a Streamlit Community Cloud perquè àrbitres, coordinadors i usuaris hi puguin accedir des de qualsevol lloc i dispositiu mòbil.</t>
  </si>
  <si>
    <t>📋 Requisits Previs Necessaris</t>
  </si>
  <si>
    <t>Un compte gratuït a GitHub ([[suspicious link removed]]([suspicious link removed])).</t>
  </si>
  <si>
    <t>Un compte a Streamlit Community Cloud ([share.streamlit.io]([suspicious link removed])), vinculat al compte de GitHub.</t>
  </si>
  <si>
    <t>Els 3 fitxers clau de la teva suite:</t>
  </si>
  <si>
    <t>webapp_classificacions.py</t>
  </si>
  <si>
    <t>requirements.txt</t>
  </si>
  <si>
    <t>Plantilla_MultiEsports_UAB.xlsx (o .xlsm)</t>
  </si>
  <si>
    <t>🚀 Pas 1: Pujar el Projecte a GitHub</t>
  </si>
  <si>
    <t>Accedeix a [[suspicious link removed]]([suspicious link removed]) i crea un repositori nou fent clic a "New repository".</t>
  </si>
  <si>
    <t>Anomena'l, per exemple, multiesports-uab-portal (pots triar si vols que sigui Públic o Privat).</t>
  </si>
  <si>
    <t>Puja-hi els 3 fitxers principals (webapp_classificacions.py, requirements.txt i Plantilla_MultiEsports_UAB.xlsx).</t>
  </si>
  <si>
    <t>🌐 Pas 2: Desplegar a Streamlit Community Cloud</t>
  </si>
  <si>
    <t>Accedeix a [share.streamlit.io]([suspicious link removed]) i entra amb el teu compte de GitHub.</t>
  </si>
  <si>
    <t>Prem el botó "Create app" (o "New app").</t>
  </si>
  <si>
    <t>Selecciona "I already have an app".</t>
  </si>
  <si>
    <t>Omple les dades del desplegament:</t>
  </si>
  <si>
    <t>Repository: Tria el teu repositori (el-teu-usuari/multiesports-uab-portal).</t>
  </si>
  <si>
    <t>Branch: main (o master).</t>
  </si>
  <si>
    <t>Main file path: webapp_classificacions.py.</t>
  </si>
  <si>
    <t>Fes clic a "Deploy!".</t>
  </si>
  <si>
    <t>📱 Pas 3: Accés dels Àrbitres i Codi QR</t>
  </si>
  <si>
    <t>En un parell de minuts, Streamlit compilarà el projecte i et donarà un enllaç web públic i permanent (ex: [suspicious link removed]).</t>
  </si>
  <si>
    <t>Ús a peu de pista:</t>
  </si>
  <si>
    <t>Genera un codi QR amb aquesta URL i enganxa'l a la taula de control de la pista o pavelló.</t>
  </si>
  <si>
    <t>L'àrbitre només ha d'escanejar el QR amb el mòbil, anar a la pestanya 🔒 Àrea Privada Àrbitres, introduir la contrasenya (UAB2026) i validar l'acta.</t>
  </si>
  <si>
    <t>💡 Nota de Gestió de Dades (Excel):</t>
  </si>
  <si>
    <t>A la versió al núvol, les dades de les actes es guarden en el mateix entorn web. Si en el futur voleu que les respostes dels àrbitres s'enviïn directament al OneDrive / SharePoint de la UAB sense passar per Streamlit Cloud, podem connectar la webapp amb l'API de Microsoft 365 o utilitzar un formulari de Microsoft Forms.</t>
  </si>
  <si>
    <t>Groga</t>
  </si>
  <si>
    <t>Vermella</t>
  </si>
  <si>
    <t>ClassificaciÃ³ Fair Play - Futbol 7 intracampus dimarts (A)</t>
  </si>
  <si>
    <t>Punts SanciÃ³</t>
  </si>
  <si>
    <t>ClassificaciÃ³ Fair Play - Futbol 7 intracampus dimarts (B)</t>
  </si>
  <si>
    <t>ClassificaciÃ³ Fair Play - Futbol 7 intracampus dimecres (A)</t>
  </si>
  <si>
    <t>ClassificaciÃ³ Fair Play - Futbol 7 intracampus dimecres (B)</t>
  </si>
  <si>
    <t>ClassificaciÃ³ Fair Play - Pàdel intracampus dijous (A)</t>
  </si>
  <si>
    <t>ClassificaciÃ³ Fair Play - Pàdel intracampus dijous (B)</t>
  </si>
  <si>
    <t>ClassificaciÃ³ Fair Play - Pàdel intracampus dimarts (Únic)</t>
  </si>
  <si>
    <t>ClassificaciÃ³ Fair Play - Voleibol 4x4 intracampus dimarts (Únic)</t>
  </si>
  <si>
    <t>ClassificaciÃ³ Fair Play - Bàdminton (Únic)</t>
  </si>
  <si>
    <t>ClassificaciÃ³ Fair Play - Tennis (A)</t>
  </si>
  <si>
    <t>ClassificaciÃ³ Fair Play - Tennis (B)</t>
  </si>
  <si>
    <t>ClassificaciÃ³ Fair Play - Bàsquet 3x3 intracampus dijous (Únic)</t>
  </si>
  <si>
    <t>VALIDAD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</si>
</sst>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2">
    <font>
      <sz val="11"/>
      <color theme="1"/>
      <name val="Calibri"/>
      <family val="2"/>
      <scheme val="minor"/>
    </font>
    <font>
      <b/>
      <sz val="14"/>
      <color rgb="FFFFFFFF"/>
      <name val="Segoe UI"/>
      <family val="2"/>
    </font>
    <font>
      <sz val="10"/>
      <color rgb="FF222222"/>
      <name val="Segoe UI"/>
      <family val="2"/>
    </font>
    <font>
      <b/>
      <sz val="11"/>
      <color rgb="FF333333"/>
      <name val="Segoe UI"/>
      <family val="2"/>
    </font>
    <font>
      <b/>
      <sz val="10"/>
      <color rgb="FFFFFFFF"/>
      <name val="Segoe UI"/>
      <family val="2"/>
    </font>
    <font>
      <b/>
      <sz val="11"/>
      <color theme="1"/>
      <name val="Calibri"/>
      <family val="2"/>
      <scheme val="minor"/>
    </font>
    <font>
      <b/>
      <sz val="9"/>
      <color rgb="FFFFFFFF"/>
      <name val="Arial"/>
      <family val="2"/>
    </font>
    <font>
      <b/>
      <sz val="10"/>
      <color rgb="FFFFFFFF"/>
      <name val="Arial"/>
      <family val="2"/>
    </font>
    <font>
      <b/>
      <sz val="12"/>
      <color rgb="FFFFFFFF"/>
      <name val="Arial"/>
      <family val="2"/>
    </font>
    <font>
      <sz val="9.5"/>
      <color theme="1"/>
      <name val="Arial"/>
      <family val="2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rgb="FF000000"/>
      <name val="Aptos"/>
      <family val="2"/>
    </font>
    <font>
      <sz val="10"/>
      <color rgb="FF303030"/>
      <name val="Arial"/>
      <family val="2"/>
    </font>
    <font>
      <sz val="10"/>
      <color rgb="FF303030"/>
      <name val="Arial"/>
      <family val="2"/>
    </font>
    <font>
      <sz val="12"/>
      <color rgb="FF303030"/>
      <name val="Arial"/>
      <family val="2"/>
    </font>
    <font>
      <sz val="10"/>
      <color rgb="FF303030"/>
      <name val="Arial"/>
      <family val="2"/>
    </font>
    <font>
      <sz val="12"/>
      <color rgb="FF303030"/>
      <name val="Arial"/>
      <family val="2"/>
    </font>
    <font>
      <sz val="10"/>
      <color rgb="FF303030"/>
      <name val="Courier New"/>
      <family val="3"/>
    </font>
    <font>
      <b/>
      <sz val="10"/>
      <color rgb="FF303030"/>
      <name val="Arial Unicode MS"/>
    </font>
    <font>
      <sz val="9"/>
      <color theme="1"/>
      <name val="Courier New"/>
      <family val="3"/>
    </font>
    <font>
      <sz val="11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rgb="FF003366"/>
        <bgColor rgb="FF003366"/>
      </patternFill>
    </fill>
    <fill>
      <patternFill patternType="solid">
        <fgColor rgb="FF008037"/>
        <bgColor rgb="FF008037"/>
      </patternFill>
    </fill>
    <fill>
      <patternFill patternType="solid">
        <fgColor rgb="FFF8FBF8"/>
        <bgColor rgb="FFF8FBF8"/>
      </patternFill>
    </fill>
    <fill>
      <patternFill patternType="solid">
        <fgColor rgb="FF008037"/>
        <bgColor indexed="64"/>
      </patternFill>
    </fill>
    <fill>
      <patternFill patternType="solid">
        <fgColor rgb="FF1E5A2D"/>
        <bgColor indexed="64"/>
      </patternFill>
    </fill>
    <fill>
      <patternFill patternType="solid">
        <fgColor rgb="FFEBF7EE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66CC"/>
        <bgColor indexed="64"/>
      </patternFill>
    </fill>
    <fill>
      <patternFill patternType="solid">
        <fgColor rgb="FF14468C"/>
        <bgColor indexed="64"/>
      </patternFill>
    </fill>
    <fill>
      <patternFill patternType="solid">
        <fgColor rgb="FFEBF3FA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</fills>
  <borders count="14">
    <border>
      <left/>
      <right/>
      <top/>
      <bottom/>
      <diagonal/>
    </border>
    <border>
      <left style="thin">
        <color rgb="FFD0D0D0"/>
      </left>
      <right style="thin">
        <color rgb="FFD0D0D0"/>
      </right>
      <top style="thin">
        <color rgb="FFD0D0D0"/>
      </top>
      <bottom style="thin">
        <color rgb="FFD0D0D0"/>
      </bottom>
      <diagonal/>
    </border>
    <border>
      <left/>
      <right/>
      <top/>
      <bottom style="thin">
        <color rgb="FFDCDCDC"/>
      </bottom>
      <diagonal/>
    </border>
    <border>
      <left/>
      <right/>
      <top style="thin">
        <color rgb="FFDCDCDC"/>
      </top>
      <bottom style="thin">
        <color rgb="FFDCDCDC"/>
      </bottom>
      <diagonal/>
    </border>
    <border>
      <left/>
      <right/>
      <top style="thin">
        <color rgb="FFDCDCDC"/>
      </top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rgb="FFDAE0E9"/>
      </left>
      <right style="thin">
        <color rgb="FFDAE0E9"/>
      </right>
      <top style="thin">
        <color rgb="FFDAE0E9"/>
      </top>
      <bottom style="thin">
        <color rgb="FFDAE0E9"/>
      </bottom>
      <diagonal/>
    </border>
    <border>
      <left/>
      <right/>
      <top/>
      <bottom style="thin">
        <color theme="9" tint="0.39997558519241921"/>
      </bottom>
      <diagonal/>
    </border>
    <border>
      <left/>
      <right style="thin">
        <color theme="9" tint="0.39997558519241921"/>
      </right>
      <top/>
      <bottom style="thin">
        <color theme="9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9" tint="0.39997558519241921"/>
      </right>
      <top/>
      <bottom/>
      <diagonal/>
    </border>
    <border>
      <left style="thin">
        <color rgb="FFD0D0D0"/>
      </left>
      <right style="thin">
        <color rgb="FFD0D0D0"/>
      </right>
      <top/>
      <bottom/>
      <diagonal/>
    </border>
  </borders>
  <cellStyleXfs count="2">
    <xf numFmtId="0" fontId="0" fillId="0" borderId="0"/>
    <xf numFmtId="0" fontId="11" fillId="0" borderId="0"/>
  </cellStyleXfs>
  <cellXfs count="71">
    <xf numFmtId="0" fontId="0" fillId="0" borderId="0" xfId="0"/>
    <xf numFmtId="0" fontId="3" fillId="0" borderId="0" xfId="0" applyFont="1" applyAlignment="1">
      <alignment horizontal="left" vertical="center" wrapText="1"/>
    </xf>
    <xf numFmtId="0" fontId="2" fillId="0" borderId="0" xfId="0" applyFont="1" applyAlignment="1">
      <alignment horizontal="left" vertical="center" wrapText="1"/>
    </xf>
    <xf numFmtId="0" fontId="4" fillId="3" borderId="1" xfId="0" applyFont="1" applyFill="1" applyBorder="1" applyAlignment="1">
      <alignment horizontal="center" vertical="center" wrapText="1"/>
    </xf>
    <xf numFmtId="0" fontId="2" fillId="4" borderId="1" xfId="0" applyFont="1" applyFill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4" fillId="2" borderId="1" xfId="0" applyFont="1" applyFill="1" applyBorder="1" applyAlignment="1">
      <alignment horizontal="center" vertical="center" wrapText="1"/>
    </xf>
    <xf numFmtId="49" fontId="0" fillId="0" borderId="0" xfId="0" applyNumberFormat="1"/>
    <xf numFmtId="49" fontId="4" fillId="2" borderId="1" xfId="0" applyNumberFormat="1" applyFont="1" applyFill="1" applyBorder="1" applyAlignment="1">
      <alignment horizontal="center" vertical="center" wrapText="1"/>
    </xf>
    <xf numFmtId="0" fontId="0" fillId="0" borderId="3" xfId="0" applyBorder="1" applyAlignment="1">
      <alignment horizontal="center"/>
    </xf>
    <xf numFmtId="0" fontId="0" fillId="0" borderId="3" xfId="0" applyBorder="1" applyAlignment="1">
      <alignment horizontal="left"/>
    </xf>
    <xf numFmtId="0" fontId="6" fillId="6" borderId="0" xfId="0" applyFont="1" applyFill="1" applyAlignment="1">
      <alignment horizontal="center" vertical="center"/>
    </xf>
    <xf numFmtId="0" fontId="0" fillId="7" borderId="2" xfId="0" applyFill="1" applyBorder="1" applyAlignment="1">
      <alignment horizontal="center"/>
    </xf>
    <xf numFmtId="0" fontId="0" fillId="7" borderId="2" xfId="0" applyFill="1" applyBorder="1" applyAlignment="1">
      <alignment horizontal="left"/>
    </xf>
    <xf numFmtId="0" fontId="0" fillId="7" borderId="3" xfId="0" applyFill="1" applyBorder="1" applyAlignment="1">
      <alignment horizontal="center"/>
    </xf>
    <xf numFmtId="0" fontId="0" fillId="7" borderId="3" xfId="0" applyFill="1" applyBorder="1" applyAlignment="1">
      <alignment horizontal="left"/>
    </xf>
    <xf numFmtId="0" fontId="0" fillId="0" borderId="4" xfId="0" applyBorder="1" applyAlignment="1">
      <alignment horizontal="center"/>
    </xf>
    <xf numFmtId="0" fontId="0" fillId="0" borderId="4" xfId="0" applyBorder="1" applyAlignment="1">
      <alignment horizontal="left"/>
    </xf>
    <xf numFmtId="0" fontId="5" fillId="0" borderId="0" xfId="0" applyFont="1"/>
    <xf numFmtId="14" fontId="0" fillId="0" borderId="0" xfId="0" applyNumberFormat="1"/>
    <xf numFmtId="0" fontId="5" fillId="0" borderId="5" xfId="0" applyFont="1" applyBorder="1" applyAlignment="1">
      <alignment horizontal="left"/>
    </xf>
    <xf numFmtId="0" fontId="0" fillId="0" borderId="0" xfId="0" applyAlignment="1">
      <alignment horizontal="left" indent="1"/>
    </xf>
    <xf numFmtId="0" fontId="5" fillId="0" borderId="0" xfId="0" applyFont="1" applyAlignment="1">
      <alignment horizontal="left"/>
    </xf>
    <xf numFmtId="20" fontId="2" fillId="4" borderId="1" xfId="0" applyNumberFormat="1" applyFont="1" applyFill="1" applyBorder="1" applyAlignment="1">
      <alignment horizontal="center" vertical="center" wrapText="1"/>
    </xf>
    <xf numFmtId="20" fontId="2" fillId="0" borderId="1" xfId="0" applyNumberFormat="1" applyFont="1" applyBorder="1" applyAlignment="1">
      <alignment horizontal="center" vertical="center" wrapText="1"/>
    </xf>
    <xf numFmtId="14" fontId="2" fillId="4" borderId="1" xfId="0" applyNumberFormat="1" applyFont="1" applyFill="1" applyBorder="1" applyAlignment="1">
      <alignment horizontal="center" vertical="center" wrapText="1"/>
    </xf>
    <xf numFmtId="0" fontId="7" fillId="10" borderId="0" xfId="0" applyFont="1" applyFill="1" applyAlignment="1">
      <alignment horizontal="center" vertical="center"/>
    </xf>
    <xf numFmtId="0" fontId="9" fillId="8" borderId="6" xfId="0" applyFont="1" applyFill="1" applyBorder="1" applyAlignment="1">
      <alignment horizontal="left"/>
    </xf>
    <xf numFmtId="0" fontId="9" fillId="8" borderId="6" xfId="0" applyFont="1" applyFill="1" applyBorder="1" applyAlignment="1">
      <alignment horizontal="center"/>
    </xf>
    <xf numFmtId="0" fontId="9" fillId="11" borderId="6" xfId="0" applyFont="1" applyFill="1" applyBorder="1" applyAlignment="1">
      <alignment horizontal="left"/>
    </xf>
    <xf numFmtId="0" fontId="9" fillId="11" borderId="6" xfId="0" applyFont="1" applyFill="1" applyBorder="1" applyAlignment="1">
      <alignment horizontal="center"/>
    </xf>
    <xf numFmtId="0" fontId="10" fillId="12" borderId="7" xfId="0" applyFont="1" applyFill="1" applyBorder="1"/>
    <xf numFmtId="0" fontId="10" fillId="12" borderId="8" xfId="0" applyFont="1" applyFill="1" applyBorder="1"/>
    <xf numFmtId="0" fontId="11" fillId="0" borderId="0" xfId="1"/>
    <xf numFmtId="0" fontId="0" fillId="0" borderId="0" xfId="0" pivotButton="1"/>
    <xf numFmtId="0" fontId="0" fillId="0" borderId="0" xfId="0" applyAlignment="1">
      <alignment horizontal="left"/>
    </xf>
    <xf numFmtId="0" fontId="12" fillId="0" borderId="0" xfId="0" applyFont="1" applyAlignment="1">
      <alignment vertical="center" readingOrder="1"/>
    </xf>
    <xf numFmtId="0" fontId="13" fillId="0" borderId="0" xfId="0" applyFont="1" applyAlignment="1">
      <alignment vertical="center"/>
    </xf>
    <xf numFmtId="0" fontId="15" fillId="0" borderId="0" xfId="0" applyFont="1" applyAlignment="1">
      <alignment vertical="center"/>
    </xf>
    <xf numFmtId="0" fontId="0" fillId="0" borderId="0" xfId="0" applyAlignment="1">
      <alignment horizontal="left" vertical="center" indent="1"/>
    </xf>
    <xf numFmtId="0" fontId="14" fillId="0" borderId="0" xfId="0" applyFont="1" applyAlignment="1">
      <alignment horizontal="left" vertical="center" indent="1"/>
    </xf>
    <xf numFmtId="0" fontId="13" fillId="0" borderId="0" xfId="0" applyFont="1" applyAlignment="1">
      <alignment horizontal="left" vertical="center" indent="2"/>
    </xf>
    <xf numFmtId="0" fontId="17" fillId="0" borderId="0" xfId="0" applyFont="1" applyAlignment="1">
      <alignment vertical="center"/>
    </xf>
    <xf numFmtId="0" fontId="13" fillId="0" borderId="0" xfId="0" applyFont="1" applyAlignment="1">
      <alignment horizontal="left" vertical="center" indent="1"/>
    </xf>
    <xf numFmtId="0" fontId="18" fillId="0" borderId="0" xfId="0" applyFont="1" applyAlignment="1">
      <alignment horizontal="left" vertical="center" indent="2"/>
    </xf>
    <xf numFmtId="0" fontId="16" fillId="0" borderId="0" xfId="0" applyFont="1" applyAlignment="1">
      <alignment horizontal="left" vertical="center" indent="2"/>
    </xf>
    <xf numFmtId="0" fontId="16" fillId="0" borderId="0" xfId="0" applyFont="1" applyAlignment="1">
      <alignment horizontal="left" vertical="center" indent="1"/>
    </xf>
    <xf numFmtId="0" fontId="20" fillId="0" borderId="0" xfId="0" applyFont="1"/>
    <xf numFmtId="0" fontId="0" fillId="13" borderId="10" xfId="0" applyFill="1" applyBorder="1"/>
    <xf numFmtId="0" fontId="0" fillId="13" borderId="11" xfId="0" applyFill="1" applyBorder="1"/>
    <xf numFmtId="0" fontId="0" fillId="14" borderId="10" xfId="0" applyFill="1" applyBorder="1"/>
    <xf numFmtId="0" fontId="0" fillId="14" borderId="11" xfId="0" applyFill="1" applyBorder="1"/>
    <xf numFmtId="20" fontId="0" fillId="0" borderId="0" xfId="0" applyNumberFormat="1"/>
    <xf numFmtId="0" fontId="0" fillId="15" borderId="0" xfId="0" applyFill="1"/>
    <xf numFmtId="0" fontId="10" fillId="12" borderId="12" xfId="0" applyFont="1" applyFill="1" applyBorder="1"/>
    <xf numFmtId="0" fontId="0" fillId="0" borderId="9" xfId="0" applyBorder="1"/>
    <xf numFmtId="0" fontId="2" fillId="4" borderId="13" xfId="0" applyFont="1" applyFill="1" applyBorder="1" applyAlignment="1">
      <alignment horizontal="center" vertical="center" wrapText="1"/>
    </xf>
    <xf numFmtId="0" fontId="2" fillId="0" borderId="13" xfId="0" applyFont="1" applyBorder="1" applyAlignment="1">
      <alignment horizontal="center" vertical="center" wrapText="1"/>
    </xf>
    <xf numFmtId="14" fontId="2" fillId="0" borderId="1" xfId="0" applyNumberFormat="1" applyFont="1" applyBorder="1" applyAlignment="1">
      <alignment horizontal="center" vertical="center" wrapText="1"/>
    </xf>
    <xf numFmtId="0" fontId="4" fillId="3" borderId="0" xfId="0" applyFont="1" applyFill="1" applyAlignment="1">
      <alignment horizontal="center" vertical="center" wrapText="1"/>
    </xf>
    <xf numFmtId="1" fontId="0" fillId="0" borderId="0" xfId="0" applyNumberFormat="1"/>
    <xf numFmtId="14" fontId="4" fillId="2" borderId="1" xfId="0" applyNumberFormat="1" applyFont="1" applyFill="1" applyBorder="1" applyAlignment="1">
      <alignment horizontal="center" vertical="center" wrapText="1"/>
    </xf>
    <xf numFmtId="0" fontId="21" fillId="0" borderId="0" xfId="0" applyFont="1"/>
    <xf numFmtId="0" fontId="19" fillId="16" borderId="9" xfId="0" applyFont="1" applyFill="1" applyBorder="1" applyAlignment="1">
      <alignment horizontal="center" vertical="center" wrapText="1"/>
    </xf>
    <xf numFmtId="0" fontId="8" fillId="9" borderId="0" xfId="0" applyFont="1" applyFill="1" applyAlignment="1">
      <alignment horizontal="center" vertical="center"/>
    </xf>
    <xf numFmtId="0" fontId="7" fillId="5" borderId="0" xfId="0" applyFont="1" applyFill="1" applyAlignment="1">
      <alignment horizontal="center" vertical="center"/>
    </xf>
    <xf numFmtId="0" fontId="0" fillId="0" borderId="0" xfId="0"/>
    <xf numFmtId="0" fontId="1" fillId="2" borderId="0" xfId="0" applyFont="1" applyFill="1" applyAlignment="1">
      <alignment horizontal="center" vertical="center"/>
    </xf>
    <xf numFmtId="0" fontId="0" fillId="13" borderId="10" xfId="0" applyFont="1" applyFill="1" applyBorder="1"/>
    <xf numFmtId="0" fontId="0" fillId="13" borderId="11" xfId="0" applyFont="1" applyFill="1" applyBorder="1"/>
    <xf numFmtId="0" fontId="20" fillId="13" borderId="11" xfId="0" applyFont="1" applyFill="1" applyBorder="1"/>
  </cellXfs>
  <cellStyles count="2">
    <cellStyle name="Hipervínculo" xfId="1" builtinId="8"/>
    <cellStyle name="Normal" xfId="0" builtinId="0"/>
  </cellStyles>
  <dxfs count="8"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</dxf>
    <dxf>
      <numFmt numFmtId="0" formatCode="General"/>
    </dxf>
    <dxf>
      <border outline="0">
        <top style="thin">
          <color theme="9" tint="0.39997558519241921"/>
        </top>
      </border>
    </dxf>
    <dxf>
      <border outline="0">
        <bottom style="thin">
          <color theme="9" tint="0.39997558519241921"/>
        </bottom>
      </border>
    </dxf>
    <dxf>
      <font>
        <b/>
        <strike val="0"/>
        <condense val="0"/>
        <extend val="0"/>
        <outline val="0"/>
        <shadow val="0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</dxf>
  </dxfs>
  <tableStyles count="1" defaultTableStyle="TableStyleMedium9" defaultPivotStyle="PivotStyleLight16">
    <tableStyle name="Invisible" pivot="0" table="0" count="0" xr9:uid="{00000000-0011-0000-FFFF-FFFF0000000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arles Siso Pallas" refreshedDate="46326.570853819438" createdVersion="8" refreshedVersion="8" minRefreshableVersion="3" recordCount="324" xr:uid="{00000000-000A-0000-FFFF-FFFF00000000}">
  <cacheSource type="worksheet">
    <worksheetSource name="ContacteEquips"/>
  </cacheSource>
  <cacheFields count="8">
    <cacheField name="Competició " numFmtId="0">
      <sharedItems count="9">
        <s v="Bàdminton"/>
        <s v="Bàsquet 3x3 intracampus dijous"/>
        <s v="Futbol 7 intracampus dimarts"/>
        <s v="Futbol 7 intracampus dimecres"/>
        <s v="Futbol sala Femení intracampus dijous"/>
        <s v="Pàdel intracampus dijous"/>
        <s v="Pàdel intracampus dimarts"/>
        <s v="Tennis"/>
        <s v="Voleibol 4x4 intracampus dimarts"/>
      </sharedItems>
    </cacheField>
    <cacheField name="Nom de l’equip" numFmtId="0">
      <sharedItems count="93">
        <s v="Eftihia Dimari"/>
        <s v="Jatinderveer Singh Kaur"/>
        <s v="Joel Martínez Hernández "/>
        <s v="Lucia Chamarro"/>
        <s v="Mariia Bodrova "/>
        <s v="Víctor Guijarro Turowska"/>
        <s v="Alibaba"/>
        <s v="Ballstones"/>
        <s v="BASQUET 3X3 SENSE EQUIP"/>
        <s v="Los Mosquifiestas"/>
        <s v="Reyes magos"/>
        <s v="Tomás Xavier De La Rosa y Alejandro López Xavez"/>
        <s v="Absolut Purris FC"/>
        <s v="Boltxetxiq"/>
        <s v="Calipso CF"/>
        <s v="Cerocero"/>
        <s v="Enginyeria de Farres FC"/>
        <s v="Estrella Roja"/>
        <s v="FC Los pollos hermanos"/>
        <s v="FUTBOL 7 SENSE EQUIP"/>
        <s v="PANCTA"/>
        <s v="Toys"/>
        <s v="Al Khol Kon"/>
        <s v="Baganball"/>
        <s v="Catalan Pirots"/>
        <s v="CCR BIOAMB"/>
        <s v="FantasIA"/>
        <s v="Los Colgaos FC"/>
        <s v="Luca Mitchell"/>
        <s v="Ludópatas FC"/>
        <s v="Nanocampeones"/>
        <s v="Riada FC"/>
        <s v="Sin Rumbo FC"/>
        <s v="Sucados 2.0"/>
        <s v="Vielha FC"/>
        <s v="FUTBOL SALA FEMENÍ SENSE EQUIP"/>
        <s v="bichiboys"/>
        <s v="BroadBall"/>
        <s v="Cequ"/>
        <s v="comexuxes"/>
        <s v="Golden Boys"/>
        <s v="Lehm"/>
        <s v="LOPEZ CANO"/>
        <s v="mire i laia"/>
        <s v="MK AND MP"/>
        <s v="Pàdel Masters"/>
        <s v="PÀDEL SENSE PARELLA DIJOUS"/>
        <s v="PÀDEL SENSE PARELLA DIJOUS 2"/>
        <s v="Rubén Velázquez Martín"/>
        <s v="X2"/>
        <s v="Xiaoqun Shi"/>
        <s v="Claude Cavaliers"/>
        <s v="María i Daniela"/>
        <s v="PÀDEL SENSE PARELLA DIMARTS"/>
        <s v="vxvx"/>
        <s v="Alexandre Jambou Migallón"/>
        <s v="ares codina gros"/>
        <s v="Armand Arranz Lange-Prollius"/>
        <s v="Arnau Balagué Barceló"/>
        <s v="Erika Pontillo Ferragonio"/>
        <s v="Francisco de Gomis Godia"/>
        <s v="Guillem García Casado "/>
        <s v="Haoming Yu"/>
        <s v="Iker López Marcos"/>
        <s v="Konrad Räusch"/>
        <s v="Marc Graciano Deltell"/>
        <s v="Marc Pigem Style"/>
        <s v="Marc Roquer Porta"/>
        <s v="Mario Boza Manríquez"/>
        <s v="Miquel Martinez Quer"/>
        <s v="Nicolas Carrera Angulo"/>
        <s v="Pep Murtra Sabaté"/>
        <s v="Sau Alemany Güeto"/>
        <s v="Unai Blazquez Quintana"/>
        <s v="Víctor Córdoba Pérez"/>
        <s v="Activas"/>
        <s v="fosfodurum"/>
        <s v="Intercept"/>
        <s v="Kurvitas"/>
        <s v="Les graelles"/>
        <s v="Makwef"/>
        <s v="Si"/>
        <s v="VBCarles"/>
        <s v="volei cuy"/>
        <s v="VOLEIBOL SENSE EQUIP"/>
        <s v="VoleiCuy"/>
        <s v="wuolah enjoyers"/>
        <s v="Les graelles " u="1"/>
        <s v="aston birras" u="1"/>
        <s v="Pablo Haake y Ben Gorden" u="1"/>
        <s v="Cerocero " u="1"/>
        <s v="Pablo Haake i Ben Gordon" u="1"/>
        <s v="Ballstones " u="1"/>
      </sharedItems>
    </cacheField>
    <cacheField name="Rol" numFmtId="0">
      <sharedItems/>
    </cacheField>
    <cacheField name="IdParticipant" numFmtId="0">
      <sharedItems/>
    </cacheField>
    <cacheField name="Nom del Component" numFmtId="0">
      <sharedItems/>
    </cacheField>
    <cacheField name="Correu UAB" numFmtId="0">
      <sharedItems/>
    </cacheField>
    <cacheField name="Correu Personal" numFmtId="0">
      <sharedItems/>
    </cacheField>
    <cacheField name="TotalAssistencies" numFmtId="0">
      <sharedItems containsSemiMixedTypes="0" containsString="0" containsNumber="1" containsInteger="1" minValue="0" maxValue="0"/>
    </cacheField>
  </cacheFields>
  <extLst>
    <ext xmlns:x14="http://schemas.microsoft.com/office/spreadsheetml/2009/9/main" uri="{725AE2AE-9491-48be-B2B4-4EB974FC3084}">
      <x14:pivotCacheDefinition/>
    </ext>
    <ext xmlns:xlpdsc="http://schemas.microsoft.com/office/spreadsheetml/2026/pivotDataSourceClean" uri="{F4336242-56EE-4DD3-A5F7-E900642BF6E9}">
      <xlpdsc:dataSourceClean>1</xlpdsc:dataSourceClean>
    </ext>
  </extLst>
</pivotCacheDefinition>
</file>

<file path=xl/pivotCache/pivotCacheRecords1.xml><?xml version="1.0" encoding="utf-8"?>
<pivotCacheRecords xmlns="http://schemas.openxmlformats.org/spreadsheetml/2006/main" count="324">
  <r>
    <x v="0"/>
    <x v="0"/>
    <s v="Jugador/a"/>
    <s v="PAR-2627-0001"/>
    <s v="Eftihia Dimari"/>
    <s v="1815117@uab.cat"/>
    <s v="1815117@uab.cat"/>
    <n v="0"/>
  </r>
  <r>
    <x v="0"/>
    <x v="1"/>
    <s v="Jugador/a"/>
    <s v="PAR-2627-0002"/>
    <s v="Jatinderveer Singh Kaur"/>
    <s v="1840483@uab.cat"/>
    <s v="1840483@uab.cat"/>
    <n v="0"/>
  </r>
  <r>
    <x v="0"/>
    <x v="2"/>
    <s v="Jugador/a"/>
    <s v="PAR-2627-0003"/>
    <s v="Joel Martínez Hernández "/>
    <s v="1750062@uab.cat"/>
    <s v="joelmarti2006@gmail.com"/>
    <n v="0"/>
  </r>
  <r>
    <x v="0"/>
    <x v="3"/>
    <s v="Jugador/a"/>
    <s v="PAR-2627-0004"/>
    <s v="Lucia Chamarro"/>
    <s v="1752235@uab.cat"/>
    <s v="lucia.chamarro18@gmail.com"/>
    <n v="0"/>
  </r>
  <r>
    <x v="0"/>
    <x v="4"/>
    <s v="Jugador/a"/>
    <s v="PAR-2627-0005"/>
    <s v="Mariia Bodrova "/>
    <s v="1843004@uab.cat"/>
    <s v="Mariia.Bodrova@autonoma.cat"/>
    <n v="0"/>
  </r>
  <r>
    <x v="0"/>
    <x v="5"/>
    <s v="Jugador/a"/>
    <s v="PAR-2627-0006"/>
    <s v="Víctor Guijarro Turowska"/>
    <s v="1841063@uab.cat"/>
    <s v="vicguitur@gmail.com "/>
    <n v="0"/>
  </r>
  <r>
    <x v="1"/>
    <x v="6"/>
    <s v="Delegat/a"/>
    <s v="PAR-2627-0007"/>
    <s v="Hanchen Xiao"/>
    <s v="1758117@uab.cat"/>
    <s v="1758117@uab.cat"/>
    <n v="0"/>
  </r>
  <r>
    <x v="1"/>
    <x v="7"/>
    <s v="Delegat/a"/>
    <s v="PAR-2627-0008"/>
    <s v="Dante Matesanz Fainstein"/>
    <s v="1835891@uab.cat"/>
    <s v="dantematesanz@gmail.com"/>
    <n v="0"/>
  </r>
  <r>
    <x v="1"/>
    <x v="7"/>
    <s v="Jugador/a"/>
    <s v="PAR-2627-0009"/>
    <s v="Arán "/>
    <s v="1835248@uab.cat"/>
    <s v="arannogueira@gmail.com"/>
    <n v="0"/>
  </r>
  <r>
    <x v="1"/>
    <x v="7"/>
    <s v="Jugador/a"/>
    <s v="PAR-2627-0010"/>
    <s v="Joaquim Navarro Marsal"/>
    <s v="1836851@uab.cat"/>
    <s v="quimnavarromarsal@gmail.com"/>
    <n v="0"/>
  </r>
  <r>
    <x v="1"/>
    <x v="8"/>
    <s v="Delegat/a"/>
    <s v="PAR-2627-0011"/>
    <s v="Lidia Fornés Torres"/>
    <s v="1837332@uab.cat"/>
    <s v="lfornestorres@gmail.com"/>
    <n v="0"/>
  </r>
  <r>
    <x v="1"/>
    <x v="8"/>
    <s v="Jugador/a"/>
    <s v="PAR-2627-0012"/>
    <s v="Alba Salmerón Badrenas"/>
    <s v="1563956@uab.cat"/>
    <s v="albaa.salmeron24@gmail.com"/>
    <n v="0"/>
  </r>
  <r>
    <x v="1"/>
    <x v="8"/>
    <s v="Jugador/a"/>
    <s v="PAR-2627-0013"/>
    <s v="Fatima El Abdi Nadouri"/>
    <s v="1790618@uab.cat"/>
    <s v="Fatimaelabdi07@gmail.com"/>
    <n v="0"/>
  </r>
  <r>
    <x v="1"/>
    <x v="9"/>
    <s v="Delegat/a"/>
    <s v="PAR-2627-0014"/>
    <s v="Johann Sebastian Barrera Reza"/>
    <s v="1836880@uab.cat"/>
    <s v="jonsonsbr545@gmail.com"/>
    <n v="0"/>
  </r>
  <r>
    <x v="1"/>
    <x v="9"/>
    <s v="Jugador/a"/>
    <s v="PAR-2627-0015"/>
    <s v="Alejandro López Rodríguez "/>
    <s v="1702646@uab.cat"/>
    <s v="aleloro2005@gmail.com"/>
    <n v="0"/>
  </r>
  <r>
    <x v="1"/>
    <x v="10"/>
    <s v="Delegat/a"/>
    <s v="PAR-2627-0016"/>
    <s v="Kevin Martínez Olvera"/>
    <s v="1752072@uab.cat"/>
    <s v="kevinmartinezolvera@gmail.com"/>
    <n v="0"/>
  </r>
  <r>
    <x v="1"/>
    <x v="11"/>
    <s v="Jugador/a"/>
    <s v="PAR-2627-0017"/>
    <s v="Johann Sebastián Barrera Reza"/>
    <s v="1836880@uab.cat"/>
    <s v="jonsonsbr545@gmail.com"/>
    <n v="0"/>
  </r>
  <r>
    <x v="2"/>
    <x v="12"/>
    <s v="Delegat/a"/>
    <s v="PAR-2627-0018"/>
    <s v="Ivan Tejero Bernabé"/>
    <s v="1746257@uab.cat"/>
    <s v="ivantejerobernabe@gmail.com"/>
    <n v="0"/>
  </r>
  <r>
    <x v="2"/>
    <x v="12"/>
    <s v="Jugador/a"/>
    <s v="PAR-2627-0019"/>
    <s v="Alex Cadevall Alvarez"/>
    <s v="1744540@uab.cat"/>
    <s v="alexcadevall2006@gmail.com"/>
    <n v="0"/>
  </r>
  <r>
    <x v="2"/>
    <x v="12"/>
    <s v="Jugador/a"/>
    <s v="PAR-2627-0020"/>
    <s v="Dídac Muñoz Camps"/>
    <s v="1745518@uab.cat"/>
    <s v="didacmuca44@gmail.com"/>
    <n v="0"/>
  </r>
  <r>
    <x v="2"/>
    <x v="12"/>
    <s v="Jugador/a"/>
    <s v="PAR-2627-0021"/>
    <s v="Héctor Cadenas Álvarez"/>
    <s v="1746018@uab.cat"/>
    <s v="hcadenasalv@gmail.com"/>
    <n v="0"/>
  </r>
  <r>
    <x v="2"/>
    <x v="12"/>
    <s v="Jugador/a"/>
    <s v="PAR-2627-0022"/>
    <s v="Hugo Farelo Leon"/>
    <s v="1746054@uab.cat"/>
    <s v="hugo.farelo@gmail.com"/>
    <n v="0"/>
  </r>
  <r>
    <x v="2"/>
    <x v="12"/>
    <s v="Jugador/a"/>
    <s v="PAR-2627-0023"/>
    <s v="Iker Martínez Maestra"/>
    <s v="1702037@uab.cat"/>
    <s v="1702037@uab.cat"/>
    <n v="0"/>
  </r>
  <r>
    <x v="2"/>
    <x v="12"/>
    <s v="Jugador/a"/>
    <s v="PAR-2627-0024"/>
    <s v="Ivan Tejero Bernabe"/>
    <s v="1746257@uab.cat"/>
    <s v="ivantejerobernabe@gmail.com"/>
    <n v="0"/>
  </r>
  <r>
    <x v="2"/>
    <x v="12"/>
    <s v="Jugador/a"/>
    <s v="PAR-2627-0025"/>
    <s v="Oriol Pons Correro"/>
    <s v="1750396@uab.cat"/>
    <s v="1750396@uab.cat"/>
    <n v="0"/>
  </r>
  <r>
    <x v="2"/>
    <x v="12"/>
    <s v="Jugador/a"/>
    <s v="PAR-2627-0026"/>
    <s v="Oriol Vila Sánchez"/>
    <s v="1748160@uab.cat"/>
    <s v="oriolvila123@gmail.com"/>
    <n v="0"/>
  </r>
  <r>
    <x v="2"/>
    <x v="12"/>
    <s v="Jugador/a"/>
    <s v="PAR-2627-0027"/>
    <s v="Pau Monfort Esteban"/>
    <s v="1748251@uab.cat"/>
    <s v="paumonfort1302@gmail.com"/>
    <n v="0"/>
  </r>
  <r>
    <x v="2"/>
    <x v="12"/>
    <s v="Jugador/a"/>
    <s v="PAR-2627-0028"/>
    <s v="Pol Baron Ciriano"/>
    <s v="1748402@uab.cat"/>
    <s v="pol.bar.cir052@gmail.com"/>
    <n v="0"/>
  </r>
  <r>
    <x v="2"/>
    <x v="12"/>
    <s v="Jugador/a"/>
    <s v="PAR-2627-0029"/>
    <s v="Roger Canadell "/>
    <s v="1750479@uab.cat"/>
    <s v="1750479@uab.cat"/>
    <n v="0"/>
  </r>
  <r>
    <x v="2"/>
    <x v="12"/>
    <s v="Jugador/a"/>
    <s v="PAR-2627-0030"/>
    <s v="Sergi López Quintero "/>
    <s v="1748724@uab.cat"/>
    <s v="1748724@uab.cat"/>
    <n v="0"/>
  </r>
  <r>
    <x v="2"/>
    <x v="12"/>
    <s v="Jugador/a"/>
    <s v="PAR-2627-0031"/>
    <s v="Victor Niccolai"/>
    <s v="1748893@uab.cat"/>
    <s v="niccolai.periago.victor@gmail.com"/>
    <n v="0"/>
  </r>
  <r>
    <x v="2"/>
    <x v="13"/>
    <s v="Delegat/a"/>
    <s v="PAR-2627-0032"/>
    <s v="Pau Muns Trabado"/>
    <s v="1669349@uab.cat"/>
    <s v="paumunstrabado@gmail.com"/>
    <n v="0"/>
  </r>
  <r>
    <x v="2"/>
    <x v="13"/>
    <s v="Jugador/a"/>
    <s v="PAR-2627-0033"/>
    <s v="Abril Milán Estruch"/>
    <s v="1794236@uab.cat"/>
    <s v="abrilmilanestruch1@gmail.com"/>
    <n v="0"/>
  </r>
  <r>
    <x v="2"/>
    <x v="13"/>
    <s v="Jugador/a"/>
    <s v="PAR-2627-0034"/>
    <s v="AIMAR ZAMORA PASCUALENA"/>
    <s v="1634696@uab.cat"/>
    <s v="aimarzapas@gmail.com"/>
    <n v="0"/>
  </r>
  <r>
    <x v="2"/>
    <x v="13"/>
    <s v="Jugador/a"/>
    <s v="PAR-2627-0035"/>
    <s v="Jassem Lyahyaoui"/>
    <s v="1668918@uab.cat"/>
    <s v="1668918@uab.cat"/>
    <n v="0"/>
  </r>
  <r>
    <x v="2"/>
    <x v="13"/>
    <s v="Jugador/a"/>
    <s v="PAR-2627-0036"/>
    <s v="Jordi Ollés"/>
    <s v="1699856@uab.cat"/>
    <s v="jordi.olles2007@gmail.com"/>
    <n v="0"/>
  </r>
  <r>
    <x v="2"/>
    <x v="13"/>
    <s v="Jugador/a"/>
    <s v="PAR-2627-0037"/>
    <s v="Lara Boix Fraile"/>
    <s v="1715280@uab.cat"/>
    <s v="laraboix05@gmail.com"/>
    <n v="0"/>
  </r>
  <r>
    <x v="2"/>
    <x v="13"/>
    <s v="Jugador/a"/>
    <s v="PAR-2627-0038"/>
    <s v="Lícia Ollés Segarra"/>
    <s v="1698127@uab.cat"/>
    <s v="1698127@uab.cat"/>
    <n v="0"/>
  </r>
  <r>
    <x v="2"/>
    <x v="13"/>
    <s v="Jugador/a"/>
    <s v="PAR-2627-0039"/>
    <s v="Marc Alameda i Llunelo"/>
    <s v="1747196@uab.cat"/>
    <s v="marc.alameda@inssobreques.cat"/>
    <n v="0"/>
  </r>
  <r>
    <x v="2"/>
    <x v="13"/>
    <s v="Jugador/a"/>
    <s v="PAR-2627-0040"/>
    <s v="Núria Giró Vial "/>
    <s v="1630555@uab.cat"/>
    <s v="nuria.autonoma@uab.cat"/>
    <n v="0"/>
  </r>
  <r>
    <x v="2"/>
    <x v="13"/>
    <s v="Jugador/a"/>
    <s v="PAR-2627-0041"/>
    <s v="Roger Figols Riera "/>
    <s v="1669679@uab.cat"/>
    <s v="1669679@uab.cat"/>
    <n v="0"/>
  </r>
  <r>
    <x v="2"/>
    <x v="13"/>
    <s v="Jugador/a"/>
    <s v="PAR-2627-0042"/>
    <s v="Sergi Creus Clapers"/>
    <s v="1707037@uab.cat"/>
    <s v="screus2005@gmail.com"/>
    <n v="0"/>
  </r>
  <r>
    <x v="2"/>
    <x v="13"/>
    <s v="Jugador/a"/>
    <s v="PAR-2627-0043"/>
    <s v="Sergi Pérez Estévez"/>
    <s v="1669864@uab.cat"/>
    <s v="1669864@uab.cat"/>
    <n v="0"/>
  </r>
  <r>
    <x v="2"/>
    <x v="14"/>
    <s v="Delegat/a"/>
    <s v="PAR-2627-0044"/>
    <s v="Martí Bergadà Valls"/>
    <s v="1797885@uab.cat"/>
    <s v="1797885@uab.cat"/>
    <n v="0"/>
  </r>
  <r>
    <x v="2"/>
    <x v="14"/>
    <s v="Jugador/a"/>
    <s v="PAR-2627-0045"/>
    <s v="Albert Pardo Pastor"/>
    <s v="1834920@uab.cat"/>
    <s v="albert.patdo.2007@gmail.com"/>
    <n v="0"/>
  </r>
  <r>
    <x v="2"/>
    <x v="14"/>
    <s v="Jugador/a"/>
    <s v="PAR-2627-0046"/>
    <s v="Enric Martos Altimir"/>
    <s v="1842270@uab.cat"/>
    <s v="enricmartos24@gmail.com"/>
    <n v="0"/>
  </r>
  <r>
    <x v="2"/>
    <x v="14"/>
    <s v="Jugador/a"/>
    <s v="PAR-2627-0047"/>
    <s v="Guillem Beal Barros"/>
    <s v="1794661@uab.cat"/>
    <s v="gbealbarros@gmail.com"/>
    <n v="0"/>
  </r>
  <r>
    <x v="2"/>
    <x v="14"/>
    <s v="Jugador/a"/>
    <s v="PAR-2627-0048"/>
    <s v="Iván Carrasco Guerra "/>
    <s v="1794740@uab.cat"/>
    <s v="ivan130107carrasco@gmail.com"/>
    <n v="0"/>
  </r>
  <r>
    <x v="2"/>
    <x v="14"/>
    <s v="Jugador/a"/>
    <s v="PAR-2627-0049"/>
    <s v="Joan Bauzà Riera "/>
    <s v="1791206@uab.cat"/>
    <s v="brjoan007@gmail.com"/>
    <n v="0"/>
  </r>
  <r>
    <x v="2"/>
    <x v="14"/>
    <s v="Jugador/a"/>
    <s v="PAR-2627-0050"/>
    <s v="Marcel Casas Pelegrí "/>
    <s v="1794982@uab.cat"/>
    <s v="mcasaspelegri@gmail.com"/>
    <n v="0"/>
  </r>
  <r>
    <x v="2"/>
    <x v="14"/>
    <s v="Jugador/a"/>
    <s v="PAR-2627-0051"/>
    <s v="Reda El Khayat Eddars"/>
    <s v="1795436@uab.cat"/>
    <s v="reddars07@gmail.com"/>
    <n v="0"/>
  </r>
  <r>
    <x v="2"/>
    <x v="14"/>
    <s v="Jugador/a"/>
    <s v="PAR-2627-0052"/>
    <s v="Roger "/>
    <s v="1738814@uab.cat"/>
    <s v="roger.ventura259@gmail.com"/>
    <n v="0"/>
  </r>
  <r>
    <x v="2"/>
    <x v="14"/>
    <s v="Jugador/a"/>
    <s v="PAR-2627-0053"/>
    <s v="Xavier de Haro Nieto"/>
    <s v="1798561@uab.cat"/>
    <s v="xharo07@gmail.com"/>
    <n v="0"/>
  </r>
  <r>
    <x v="2"/>
    <x v="15"/>
    <s v="Delegat/a"/>
    <s v="PAR-2627-0054"/>
    <s v="Agustina Rocio Palacio Grecco"/>
    <s v="1834744@uab.cat"/>
    <s v="Agustinapalaciogrecco@gmail.com"/>
    <n v="0"/>
  </r>
  <r>
    <x v="2"/>
    <x v="15"/>
    <s v="Jugador/a"/>
    <s v="PAR-2627-0055"/>
    <s v="Agustina Palacio Grecco "/>
    <s v="1834744@uab.cat"/>
    <s v="Agustinapalaciogrecco@gmail.com"/>
    <n v="0"/>
  </r>
  <r>
    <x v="2"/>
    <x v="15"/>
    <s v="Jugador/a"/>
    <s v="PAR-2627-0056"/>
    <s v="Ainara Esteve García "/>
    <s v="1796262@uab.cat"/>
    <s v="ainaraestevegarcia07@gmail.com"/>
    <n v="0"/>
  </r>
  <r>
    <x v="2"/>
    <x v="15"/>
    <s v="Jugador/a"/>
    <s v="PAR-2627-0057"/>
    <s v="Álvaro Puga Gallego"/>
    <s v="1841789@uab.cat"/>
    <s v="pugaalvaro563@gmail.com"/>
    <n v="0"/>
  </r>
  <r>
    <x v="2"/>
    <x v="15"/>
    <s v="Jugador/a"/>
    <s v="PAR-2627-0058"/>
    <s v="Andres Permanyer Fernández "/>
    <s v="1835146@uab.cat"/>
    <s v="1835146@uab.cat"/>
    <n v="0"/>
  </r>
  <r>
    <x v="2"/>
    <x v="15"/>
    <s v="Jugador/a"/>
    <s v="PAR-2627-0059"/>
    <s v="Arnau Marco Del Moral"/>
    <s v="1835326@uab.cat"/>
    <s v="armademo44@gmail.com"/>
    <n v="0"/>
  </r>
  <r>
    <x v="2"/>
    <x v="15"/>
    <s v="Jugador/a"/>
    <s v="PAR-2627-0060"/>
    <s v="Isaac Mallofre"/>
    <s v="1836570@uab.cat"/>
    <s v="1836570@uab.cat"/>
    <n v="0"/>
  </r>
  <r>
    <x v="2"/>
    <x v="15"/>
    <s v="Jugador/a"/>
    <s v="PAR-2627-0061"/>
    <s v="Joan Milian Calvet"/>
    <s v="1836811@uab.cat"/>
    <s v="Joanmc08@gmail.com"/>
    <n v="0"/>
  </r>
  <r>
    <x v="2"/>
    <x v="15"/>
    <s v="Jugador/a"/>
    <s v="PAR-2627-0062"/>
    <s v="Sergi Artigas Arrabal"/>
    <s v="1843511@uab.cat"/>
    <s v="sergiartigasa@gmail.com"/>
    <n v="0"/>
  </r>
  <r>
    <x v="2"/>
    <x v="15"/>
    <s v="Jugador/a"/>
    <s v="PAR-2627-0063"/>
    <s v="Xavier Ordóñez Vásquez "/>
    <s v="1839250@uab.cat"/>
    <s v="xavilejono404@gmail.com"/>
    <n v="0"/>
  </r>
  <r>
    <x v="2"/>
    <x v="16"/>
    <s v="Delegat/a"/>
    <s v="PAR-2627-0064"/>
    <s v="Carlos Farrés Lozano"/>
    <s v="1713256@uab.cat"/>
    <s v="carlosfarres2004@gmail.com"/>
    <n v="0"/>
  </r>
  <r>
    <x v="2"/>
    <x v="16"/>
    <s v="Jugador/a"/>
    <s v="PAR-2627-0065"/>
    <s v="Alan Farré Garrido"/>
    <s v="1744371@uab.cat"/>
    <s v="1744371@uab.cat"/>
    <n v="0"/>
  </r>
  <r>
    <x v="2"/>
    <x v="16"/>
    <s v="Jugador/a"/>
    <s v="PAR-2627-0066"/>
    <s v="Anna Penalva Pous"/>
    <s v="1744755@uab.cat"/>
    <s v="annapouuss@gmail.com"/>
    <n v="0"/>
  </r>
  <r>
    <x v="2"/>
    <x v="16"/>
    <s v="Jugador/a"/>
    <s v="PAR-2627-0067"/>
    <s v="Arnau López Lozano "/>
    <s v="1744876@uab.cat"/>
    <s v="arnaulopezlozano@gmail.com"/>
    <n v="0"/>
  </r>
  <r>
    <x v="2"/>
    <x v="16"/>
    <s v="Jugador/a"/>
    <s v="PAR-2627-0068"/>
    <s v="Biel Puga Jodas"/>
    <s v="1745043@uab.cat"/>
    <s v="1745043@uab.cat"/>
    <n v="0"/>
  </r>
  <r>
    <x v="2"/>
    <x v="16"/>
    <s v="Jugador/a"/>
    <s v="PAR-2627-0069"/>
    <s v="Carlos Farres Lozano"/>
    <s v="1713256@uab.cat"/>
    <s v="carlosfarres2004@gmail.com"/>
    <n v="0"/>
  </r>
  <r>
    <x v="2"/>
    <x v="16"/>
    <s v="Jugador/a"/>
    <s v="PAR-2627-0070"/>
    <s v="David Cabello Hernandez"/>
    <s v="1745464@uab.cat"/>
    <s v="davidcabello06@gmail.com"/>
    <n v="0"/>
  </r>
  <r>
    <x v="2"/>
    <x v="16"/>
    <s v="Jugador/a"/>
    <s v="PAR-2627-0071"/>
    <s v="David Carrillo Maillo"/>
    <s v="1745466@uab.cat"/>
    <s v="david44cm@gmail.com"/>
    <n v="0"/>
  </r>
  <r>
    <x v="2"/>
    <x v="16"/>
    <s v="Jugador/a"/>
    <s v="PAR-2627-0072"/>
    <s v="David Gómez Blanco"/>
    <s v="1749837@uab.cat"/>
    <s v="dgb00160@gmail.com"/>
    <n v="0"/>
  </r>
  <r>
    <x v="2"/>
    <x v="16"/>
    <s v="Jugador/a"/>
    <s v="PAR-2627-0073"/>
    <s v="David Pal Polgar"/>
    <s v="1749838@uab.cat"/>
    <s v="davidpal666@gmail.com"/>
    <n v="0"/>
  </r>
  <r>
    <x v="2"/>
    <x v="16"/>
    <s v="Jugador/a"/>
    <s v="PAR-2627-0074"/>
    <s v="Diogo da Costa Lã Cabrita Teixeira"/>
    <s v="1751533@uab.cat"/>
    <s v="diogo.cabrita.teixeira@gmail.com"/>
    <n v="0"/>
  </r>
  <r>
    <x v="2"/>
    <x v="16"/>
    <s v="Jugador/a"/>
    <s v="PAR-2627-0075"/>
    <s v="Gorka Sagristà Novell"/>
    <s v="1745950@uab.cat"/>
    <s v="1745950@uab.cat"/>
    <n v="0"/>
  </r>
  <r>
    <x v="2"/>
    <x v="16"/>
    <s v="Jugador/a"/>
    <s v="PAR-2627-0076"/>
    <s v="Iker López Marcos "/>
    <s v="1746098@uab.cat"/>
    <s v="1746098@uab.cat"/>
    <n v="0"/>
  </r>
  <r>
    <x v="2"/>
    <x v="16"/>
    <s v="Jugador/a"/>
    <s v="PAR-2627-0077"/>
    <s v="Joel León Bou"/>
    <s v="1750060@uab.cat"/>
    <s v="1750060@uab.cat"/>
    <n v="0"/>
  </r>
  <r>
    <x v="2"/>
    <x v="16"/>
    <s v="Jugador/a"/>
    <s v="PAR-2627-0078"/>
    <s v="Marçal Bodro i Compaña"/>
    <s v="1747260@uab.cat"/>
    <s v="marsalbodro@gmail.com"/>
    <n v="0"/>
  </r>
  <r>
    <x v="2"/>
    <x v="16"/>
    <s v="Jugador/a"/>
    <s v="PAR-2627-0079"/>
    <s v="Ruben Velazquez"/>
    <s v="1748584@uab.cat"/>
    <s v="Ruben.velazquez.martin8@gmail.com"/>
    <n v="0"/>
  </r>
  <r>
    <x v="2"/>
    <x v="17"/>
    <s v="Jugador/a"/>
    <s v="PAR-2627-0080"/>
    <s v="Feline Kerkhoven"/>
    <s v="1831766@uab.cat"/>
    <s v="daankerkhoven@gmail.com"/>
    <n v="0"/>
  </r>
  <r>
    <x v="2"/>
    <x v="18"/>
    <s v="Delegat/a"/>
    <s v="PAR-2627-0081"/>
    <s v="Ramiro Llorens Ferreyra"/>
    <s v="1840968@uab.cat"/>
    <s v="Ramiro.llorens.ferreyra11@gmail.com"/>
    <n v="0"/>
  </r>
  <r>
    <x v="2"/>
    <x v="18"/>
    <s v="Jugador/a"/>
    <s v="PAR-2627-0082"/>
    <s v="Ferran Cano Rubio "/>
    <s v="1836215@uab.cat"/>
    <s v="Ferran.cano24@gmail.com"/>
    <n v="0"/>
  </r>
  <r>
    <x v="2"/>
    <x v="18"/>
    <s v="Jugador/a"/>
    <s v="PAR-2627-0083"/>
    <s v="Iñaki Esteban Gaitán Mesa"/>
    <s v="1836499@uab.cat"/>
    <s v="inaki7718@gmail.com"/>
    <n v="0"/>
  </r>
  <r>
    <x v="2"/>
    <x v="18"/>
    <s v="Jugador/a"/>
    <s v="PAR-2627-0084"/>
    <s v="Izan Fernandez Jimenez"/>
    <s v="1845536@uab.cat"/>
    <s v="Kilizan234@gmail.com"/>
    <n v="0"/>
  </r>
  <r>
    <x v="2"/>
    <x v="18"/>
    <s v="Jugador/a"/>
    <s v="PAR-2627-0085"/>
    <s v="Joel Quesada Pérez"/>
    <s v="1842614@uab.cat"/>
    <s v="reastingally7075@gmail.com"/>
    <n v="0"/>
  </r>
  <r>
    <x v="2"/>
    <x v="18"/>
    <s v="Jugador/a"/>
    <s v="PAR-2627-0086"/>
    <s v="Jorge Duran"/>
    <s v="1836914@uab.cat"/>
    <s v="jorgeduranvv@gmail.com"/>
    <n v="0"/>
  </r>
  <r>
    <x v="2"/>
    <x v="18"/>
    <s v="Jugador/a"/>
    <s v="PAR-2627-0087"/>
    <s v="Oliver de Haro Rioja"/>
    <s v="1802605@uab.cat"/>
    <s v="oliiverdeharoo@gmail.com"/>
    <n v="0"/>
  </r>
  <r>
    <x v="2"/>
    <x v="18"/>
    <s v="Jugador/a"/>
    <s v="PAR-2627-0088"/>
    <s v="Ramiro Llorens Ferreyra "/>
    <s v="1840968@uab.cat"/>
    <s v="Ramiro.llorens.ferreyra11@gmail.com"/>
    <n v="0"/>
  </r>
  <r>
    <x v="2"/>
    <x v="18"/>
    <s v="Jugador/a"/>
    <s v="PAR-2627-0089"/>
    <s v="Raúl Vico Villalba "/>
    <s v="1838783@uab.cat"/>
    <s v="raulvicovillalba11@gmail.com"/>
    <n v="0"/>
  </r>
  <r>
    <x v="2"/>
    <x v="18"/>
    <s v="Jugador/a"/>
    <s v="PAR-2627-0090"/>
    <s v="Samir Belloudan Ben Chayb"/>
    <s v="1845666@uab.cat"/>
    <s v="belloudansamir@gmail.com"/>
    <n v="0"/>
  </r>
  <r>
    <x v="2"/>
    <x v="19"/>
    <s v="Delegat/a"/>
    <s v="PAR-2627-0091"/>
    <s v="Daan Kerkhoven"/>
    <s v="1831766@uab.cat"/>
    <s v="daankerkhoven@gmail.com"/>
    <n v="0"/>
  </r>
  <r>
    <x v="2"/>
    <x v="19"/>
    <s v="Jugador/a"/>
    <s v="PAR-2627-0092"/>
    <s v="Ally Alvarez"/>
    <s v="1829536@uab.cat"/>
    <s v="allyalvarez24@gmail.com"/>
    <n v="0"/>
  </r>
  <r>
    <x v="2"/>
    <x v="19"/>
    <s v="Jugador/a"/>
    <s v="PAR-2627-0093"/>
    <s v="Arnau Barberà Fernàndez"/>
    <s v="1831682@uab.cat"/>
    <s v="arnaubarbera04@gmail.com"/>
    <n v="0"/>
  </r>
  <r>
    <x v="2"/>
    <x v="19"/>
    <s v="Jugador/a"/>
    <s v="PAR-2627-0094"/>
    <s v="Catherine Canon-Almagro"/>
    <s v="1827336@uab.cat"/>
    <s v="catherinecanon44@gmail.com"/>
    <n v="0"/>
  </r>
  <r>
    <x v="2"/>
    <x v="19"/>
    <s v="Jugador/a"/>
    <s v="PAR-2627-0095"/>
    <s v="Igor Peletskyi "/>
    <s v="1833830@uab.cat"/>
    <s v="peletskiyigor2004@gmail.com"/>
    <n v="0"/>
  </r>
  <r>
    <x v="2"/>
    <x v="19"/>
    <s v="Jugador/a"/>
    <s v="PAR-2627-0096"/>
    <s v="Selleslagh Femke"/>
    <s v="1831782@uab.cat"/>
    <s v="1831782@uab.cat"/>
    <n v="0"/>
  </r>
  <r>
    <x v="2"/>
    <x v="19"/>
    <s v="Jugador/a"/>
    <s v="PAR-2627-0097"/>
    <s v="Taleya"/>
    <s v="1819297@uab.cat"/>
    <s v="1819297@uab.cat"/>
    <n v="0"/>
  </r>
  <r>
    <x v="2"/>
    <x v="19"/>
    <s v="Jugador/a"/>
    <s v="PAR-2627-0098"/>
    <s v="Williams Orlando Tapia Chavez"/>
    <s v="1557645@uab.cat"/>
    <s v="williamsorlanto.tapia@autonoma.cat"/>
    <n v="0"/>
  </r>
  <r>
    <x v="2"/>
    <x v="20"/>
    <s v="Delegat/a"/>
    <s v="PAR-2627-0099"/>
    <s v="David Pérez González"/>
    <s v="1796848@uab.cat"/>
    <s v="1796848@uab.cat"/>
    <n v="0"/>
  </r>
  <r>
    <x v="2"/>
    <x v="20"/>
    <s v="Jugador/a"/>
    <s v="PAR-2627-0100"/>
    <s v="Albert Gascón Marzo"/>
    <s v="1789353@uab.cat"/>
    <s v="gasconmarzoalbert@gmail.com"/>
    <n v="0"/>
  </r>
  <r>
    <x v="2"/>
    <x v="20"/>
    <s v="Jugador/a"/>
    <s v="PAR-2627-0101"/>
    <s v="Bernat Pujol Alvarez"/>
    <s v="1789854@uab.cat"/>
    <s v="bpinyoli@gmail.com"/>
    <n v="0"/>
  </r>
  <r>
    <x v="2"/>
    <x v="20"/>
    <s v="Jugador/a"/>
    <s v="PAR-2627-0102"/>
    <s v="Biel Rodrigo Estrada"/>
    <s v="1789902@uab.cat"/>
    <s v="1789902@uab.cat"/>
    <n v="0"/>
  </r>
  <r>
    <x v="2"/>
    <x v="20"/>
    <s v="Jugador/a"/>
    <s v="PAR-2627-0103"/>
    <s v="biel santiso gonzalez"/>
    <s v="1789907@uab.cat"/>
    <s v="bielsantisogonzalez@gmail.com"/>
    <n v="0"/>
  </r>
  <r>
    <x v="2"/>
    <x v="20"/>
    <s v="Jugador/a"/>
    <s v="PAR-2627-0104"/>
    <s v="Francesc Joan Borguñó Brugarolas"/>
    <s v="1797044@uab.cat"/>
    <s v="pacoborgurolas@gmail.com"/>
    <n v="0"/>
  </r>
  <r>
    <x v="2"/>
    <x v="20"/>
    <s v="Jugador/a"/>
    <s v="PAR-2627-0105"/>
    <s v="Hugo Hernando Lopez"/>
    <s v="1776552@uab.cat"/>
    <s v="hugoherlop28@gmail.com"/>
    <n v="0"/>
  </r>
  <r>
    <x v="2"/>
    <x v="20"/>
    <s v="Jugador/a"/>
    <s v="PAR-2627-0106"/>
    <s v="Marcus Purcell Pérez"/>
    <s v="1792017@uab.cat"/>
    <s v="perezmarcus578@gmail.com"/>
    <n v="0"/>
  </r>
  <r>
    <x v="2"/>
    <x v="20"/>
    <s v="Jugador/a"/>
    <s v="PAR-2627-0107"/>
    <s v="Pedro Martín Guerrero"/>
    <s v="1798254@uab.cat"/>
    <s v="pmartinguerrero2007@gmail.com"/>
    <n v="0"/>
  </r>
  <r>
    <x v="2"/>
    <x v="20"/>
    <s v="Jugador/a"/>
    <s v="PAR-2627-0108"/>
    <s v="Pol Arellano Sánchez"/>
    <s v="1793091@uab.cat"/>
    <s v="polarsa29@gmail.com"/>
    <n v="0"/>
  </r>
  <r>
    <x v="2"/>
    <x v="20"/>
    <s v="Jugador/a"/>
    <s v="PAR-2627-0109"/>
    <s v="Víctor Mena Santos "/>
    <s v="1741904@uab.cat"/>
    <s v="1741904@uab.cat"/>
    <n v="0"/>
  </r>
  <r>
    <x v="2"/>
    <x v="21"/>
    <s v="Delegat/a"/>
    <s v="PAR-2627-0110"/>
    <s v="Justin Jaret García Andino"/>
    <s v="1837090@uab.cat"/>
    <s v="jomstiam2003@gmail.com"/>
    <n v="0"/>
  </r>
  <r>
    <x v="2"/>
    <x v="21"/>
    <s v="Jugador/a"/>
    <s v="PAR-2627-0111"/>
    <s v="Andreu Vilella Ferré"/>
    <s v="1835152@uab.cat"/>
    <s v="07andreuvf@gmail.com"/>
    <n v="0"/>
  </r>
  <r>
    <x v="2"/>
    <x v="21"/>
    <s v="Jugador/a"/>
    <s v="PAR-2627-0112"/>
    <s v="Gabriel Casares Rosa"/>
    <s v="1836243@uab.cat"/>
    <s v="gabrielcasaresrosa08@gmail.com"/>
    <n v="0"/>
  </r>
  <r>
    <x v="2"/>
    <x v="21"/>
    <s v="Jugador/a"/>
    <s v="PAR-2627-0113"/>
    <s v="Javier Arañó Heredero"/>
    <s v="1836757@uab.cat"/>
    <s v="javiaraher22@gmail.com"/>
    <n v="0"/>
  </r>
  <r>
    <x v="2"/>
    <x v="21"/>
    <s v="Jugador/a"/>
    <s v="PAR-2627-0114"/>
    <s v="Justin Jaret Garcia Andino"/>
    <s v="1837090@uab.cat"/>
    <s v="jomstiam2003@gmail.com"/>
    <n v="0"/>
  </r>
  <r>
    <x v="2"/>
    <x v="21"/>
    <s v="Jugador/a"/>
    <s v="PAR-2627-0115"/>
    <s v="Nicolás Soto Ramírez"/>
    <s v="1838252@uab.cat"/>
    <s v="nicolassotor08@gmail.com"/>
    <n v="0"/>
  </r>
  <r>
    <x v="2"/>
    <x v="21"/>
    <s v="Jugador/a"/>
    <s v="PAR-2627-0116"/>
    <s v="Roberto Vedovato "/>
    <s v="1838807@uab.cat"/>
    <s v="robertovedovato2004@gmail.com"/>
    <n v="0"/>
  </r>
  <r>
    <x v="2"/>
    <x v="21"/>
    <s v="Jugador/a"/>
    <s v="PAR-2627-0117"/>
    <s v="Sergi Jiménez"/>
    <s v="1848554@uab.cat"/>
    <s v="sergijimenez2323@gmail.com"/>
    <n v="0"/>
  </r>
  <r>
    <x v="2"/>
    <x v="21"/>
    <s v="Jugador/a"/>
    <s v="PAR-2627-0118"/>
    <s v="Xavi Guitart De Yzaguirre"/>
    <s v="1839234@uab.cat"/>
    <s v="xaviguitart2008@gmail.com"/>
    <n v="0"/>
  </r>
  <r>
    <x v="3"/>
    <x v="22"/>
    <s v="Delegat/a"/>
    <s v="PAR-2627-0119"/>
    <s v="Hugo Dueso Molina"/>
    <s v="1704294@uab.cat"/>
    <s v="hugoduesomolina@gmail.com"/>
    <n v="0"/>
  </r>
  <r>
    <x v="3"/>
    <x v="22"/>
    <s v="Jugador/a"/>
    <s v="PAR-2627-0120"/>
    <s v="Alex Quesada Quesada"/>
    <s v="1749637@uab.cat"/>
    <s v="qqalexquesada@gmail.com"/>
    <n v="0"/>
  </r>
  <r>
    <x v="3"/>
    <x v="22"/>
    <s v="Jugador/a"/>
    <s v="PAR-2627-0121"/>
    <s v="Daniel Genov Draganova"/>
    <s v="1703660@uab.cat"/>
    <s v="danigenov@protonmail.com"/>
    <n v="0"/>
  </r>
  <r>
    <x v="3"/>
    <x v="22"/>
    <s v="Jugador/a"/>
    <s v="PAR-2627-0122"/>
    <s v="Daniela Martínez"/>
    <s v="1745442@uab.cat"/>
    <s v="martinezmoyadaniela@gmail.com"/>
    <n v="0"/>
  </r>
  <r>
    <x v="3"/>
    <x v="22"/>
    <s v="Jugador/a"/>
    <s v="PAR-2627-0123"/>
    <s v="Esteban Villares Muñoz"/>
    <s v="1745732@uab.cat"/>
    <s v="estebanvillares@gmail.com"/>
    <n v="0"/>
  </r>
  <r>
    <x v="3"/>
    <x v="22"/>
    <s v="Jugador/a"/>
    <s v="PAR-2627-0124"/>
    <s v="Hugo Bergillos Moron"/>
    <s v="1749955@uab.cat"/>
    <s v="hugobergillos@gmail.com"/>
    <n v="0"/>
  </r>
  <r>
    <x v="3"/>
    <x v="22"/>
    <s v="Jugador/a"/>
    <s v="PAR-2627-0125"/>
    <s v="Josep Fernández Fabregat"/>
    <s v="1751985@uab.cat"/>
    <s v="josepffar2505@gmail.com"/>
    <n v="0"/>
  </r>
  <r>
    <x v="3"/>
    <x v="22"/>
    <s v="Jugador/a"/>
    <s v="PAR-2627-0126"/>
    <s v="Miquel Piñol Peris"/>
    <s v="1747766@uab.cat"/>
    <s v="mpinyolperis@gmail.com"/>
    <n v="0"/>
  </r>
  <r>
    <x v="3"/>
    <x v="22"/>
    <s v="Jugador/a"/>
    <s v="PAR-2627-0127"/>
    <s v="Rafa Ferré Arànega"/>
    <s v="1748468@uab.cat"/>
    <s v="rafafaranega@gmail.com"/>
    <n v="0"/>
  </r>
  <r>
    <x v="3"/>
    <x v="22"/>
    <s v="Jugador/a"/>
    <s v="PAR-2627-0128"/>
    <s v="Ruben Nadal Domenech"/>
    <s v="1798365@uab.cat"/>
    <s v="rubennadaldomenech2@gmail.com"/>
    <n v="0"/>
  </r>
  <r>
    <x v="3"/>
    <x v="23"/>
    <s v="Delegat/a"/>
    <s v="PAR-2627-0129"/>
    <s v="David Domènech Armillas"/>
    <s v="1736805@uab.cat"/>
    <s v="davidomenecha@gmail.com"/>
    <n v="0"/>
  </r>
  <r>
    <x v="3"/>
    <x v="23"/>
    <s v="Jugador/a"/>
    <s v="PAR-2627-0130"/>
    <s v="Alex Bayascas Guasch "/>
    <s v="1834983@uab.cat"/>
    <s v="bayascasguaschalex@gmail.com"/>
    <n v="0"/>
  </r>
  <r>
    <x v="3"/>
    <x v="23"/>
    <s v="Jugador/a"/>
    <s v="PAR-2627-0131"/>
    <s v="Àlex Rebollo Nikitin"/>
    <s v="1841758@uab.cat"/>
    <s v="alexrebnik11@gmail.com"/>
    <n v="0"/>
  </r>
  <r>
    <x v="3"/>
    <x v="23"/>
    <s v="Jugador/a"/>
    <s v="PAR-2627-0132"/>
    <s v="Arán Nogueira Acacio "/>
    <s v="1835248@uab.cat"/>
    <s v="arannogueira@gmail.com"/>
    <n v="0"/>
  </r>
  <r>
    <x v="3"/>
    <x v="23"/>
    <s v="Jugador/a"/>
    <s v="PAR-2627-0133"/>
    <s v="Arnau Alegret Oltra"/>
    <s v="1840128@uab.cat"/>
    <s v="arnaualegretoltra@gmail.com"/>
    <n v="0"/>
  </r>
  <r>
    <x v="3"/>
    <x v="23"/>
    <s v="Jugador/a"/>
    <s v="PAR-2627-0134"/>
    <s v="Arnau González "/>
    <s v="1796537@uab.cat"/>
    <s v="Arnau.goab@gmail.com"/>
    <n v="0"/>
  </r>
  <r>
    <x v="3"/>
    <x v="23"/>
    <s v="Jugador/a"/>
    <s v="PAR-2627-0135"/>
    <s v="Carlos Perlado Costa"/>
    <s v="1785327@uab.cat"/>
    <s v="1785327@uab.cat"/>
    <n v="0"/>
  </r>
  <r>
    <x v="3"/>
    <x v="23"/>
    <s v="Jugador/a"/>
    <s v="PAR-2627-0136"/>
    <s v="David Lorenzo Bleda "/>
    <s v="1835911@uab.cat"/>
    <s v="1835911@uab.cat"/>
    <n v="0"/>
  </r>
  <r>
    <x v="3"/>
    <x v="23"/>
    <s v="Jugador/a"/>
    <s v="PAR-2627-0137"/>
    <s v="Elsa Rios Sanz"/>
    <s v="1840304@uab.cat"/>
    <s v="elsariossanz@gmail.com"/>
    <n v="0"/>
  </r>
  <r>
    <x v="3"/>
    <x v="23"/>
    <s v="Jugador/a"/>
    <s v="PAR-2627-0138"/>
    <s v="Èric Da Rocha Arnau"/>
    <s v="1839417@uab.cat"/>
    <s v="ericus77777@gmail.com"/>
    <n v="0"/>
  </r>
  <r>
    <x v="3"/>
    <x v="23"/>
    <s v="Jugador/a"/>
    <s v="PAR-2627-0139"/>
    <s v="Esteve Vilella Rivero"/>
    <s v="1827637@uab.cat"/>
    <s v="esteve.villella14@gmail.com"/>
    <n v="0"/>
  </r>
  <r>
    <x v="3"/>
    <x v="23"/>
    <s v="Jugador/a"/>
    <s v="PAR-2627-0140"/>
    <s v="Ignacio Hernando de Larramendi Tomás"/>
    <s v="1836448@uab.cat"/>
    <s v="ignaciohernando7@gmail.com"/>
    <n v="0"/>
  </r>
  <r>
    <x v="3"/>
    <x v="23"/>
    <s v="Jugador/a"/>
    <s v="PAR-2627-0141"/>
    <s v="Josep Barriach Ollé"/>
    <s v="1840516@uab.cat"/>
    <s v="jossepguapo@gmail.com"/>
    <n v="0"/>
  </r>
  <r>
    <x v="3"/>
    <x v="23"/>
    <s v="Jugador/a"/>
    <s v="PAR-2627-0142"/>
    <s v="Llorenç Gabaldà i Alcañiz "/>
    <s v="1791731@uab.cat"/>
    <s v="llo.gabalca@gmail.com"/>
    <n v="0"/>
  </r>
  <r>
    <x v="3"/>
    <x v="23"/>
    <s v="Jugador/a"/>
    <s v="PAR-2627-0143"/>
    <s v="Lluís Macià Mas"/>
    <s v="1837362@uab.cat"/>
    <s v="lluismaciamas12@gmail.com"/>
    <n v="0"/>
  </r>
  <r>
    <x v="3"/>
    <x v="23"/>
    <s v="Jugador/a"/>
    <s v="PAR-2627-0144"/>
    <s v="Marta Aranda Rubio"/>
    <s v="1843067@uab.cat"/>
    <s v="martaarandarubio@gmail.com"/>
    <n v="0"/>
  </r>
  <r>
    <x v="3"/>
    <x v="23"/>
    <s v="Jugador/a"/>
    <s v="PAR-2627-0145"/>
    <s v="Paula Solanas Álvarez"/>
    <s v="1840943@uab.cat"/>
    <s v="paulasolanas1@gmail.com"/>
    <n v="0"/>
  </r>
  <r>
    <x v="3"/>
    <x v="23"/>
    <s v="Jugador/a"/>
    <s v="PAR-2627-0146"/>
    <s v="Quim Albi Masdeu "/>
    <s v="1798298@uab.cat"/>
    <s v="1798298@uab.cat"/>
    <n v="0"/>
  </r>
  <r>
    <x v="3"/>
    <x v="23"/>
    <s v="Jugador/a"/>
    <s v="PAR-2627-0147"/>
    <s v="Riccardo Segatori"/>
    <s v="1838793@uab.cat"/>
    <s v="segatoriccardo6@gmail.com"/>
    <n v="0"/>
  </r>
  <r>
    <x v="3"/>
    <x v="23"/>
    <s v="Jugador/a"/>
    <s v="PAR-2627-0148"/>
    <s v="Víctor Checa Martínez"/>
    <s v="1839182@uab.cat"/>
    <s v="victorchemar@gmail.com"/>
    <n v="0"/>
  </r>
  <r>
    <x v="3"/>
    <x v="24"/>
    <s v="Delegat/a"/>
    <s v="PAR-2627-0149"/>
    <s v="Oriol Prats Cuyàs"/>
    <s v="1792905@uab.cat"/>
    <s v="1792905@uab.cat"/>
    <n v="0"/>
  </r>
  <r>
    <x v="3"/>
    <x v="25"/>
    <s v="Delegat/a"/>
    <s v="PAR-2627-0150"/>
    <s v="Oriol Ballester Martí"/>
    <s v="1748137@uab.cat"/>
    <s v="1748137@uab.cat"/>
    <n v="0"/>
  </r>
  <r>
    <x v="3"/>
    <x v="26"/>
    <s v="Delegat/a"/>
    <s v="PAR-2627-0151"/>
    <s v="Joan Gimbert Gallinad"/>
    <s v="1751932@uab.cat"/>
    <s v="1751932@uab.cat"/>
    <n v="0"/>
  </r>
  <r>
    <x v="3"/>
    <x v="26"/>
    <s v="Delegat/a"/>
    <s v="PAR-2627-0152"/>
    <s v="Johan Sené Usón"/>
    <s v="1750066@uab.cat"/>
    <s v="1750066@uab.cat"/>
    <n v="0"/>
  </r>
  <r>
    <x v="3"/>
    <x v="26"/>
    <s v="Jugador/a"/>
    <s v="PAR-2627-0153"/>
    <s v="Genis Gimbert Pedrol"/>
    <s v="1745886@uab.cat"/>
    <s v="1745886@uab.cat"/>
    <n v="0"/>
  </r>
  <r>
    <x v="3"/>
    <x v="26"/>
    <s v="Jugador/a"/>
    <s v="PAR-2627-0154"/>
    <s v="Joan Gimbert"/>
    <s v="1751932@uab.cat"/>
    <s v="1751932@uab.cat"/>
    <n v="0"/>
  </r>
  <r>
    <x v="3"/>
    <x v="26"/>
    <s v="Jugador/a"/>
    <s v="PAR-2627-0155"/>
    <s v="Miquel Requena Pont"/>
    <s v="1750324@uab.cat"/>
    <s v="miquel.requenaipont@gmail.com"/>
    <n v="0"/>
  </r>
  <r>
    <x v="3"/>
    <x v="26"/>
    <s v="Jugador/a"/>
    <s v="PAR-2627-0156"/>
    <s v="Pol Cuesta Morote"/>
    <s v="1748413@uab.cat"/>
    <s v="pcuestamorote@gmail.com"/>
    <n v="0"/>
  </r>
  <r>
    <x v="3"/>
    <x v="19"/>
    <s v="Delegat/a"/>
    <s v="PAR-2627-0157"/>
    <s v="Dídac Álvarez Rodríguez"/>
    <s v="1835943@uab.cat"/>
    <s v="didacalvarez4@gmail.com"/>
    <n v="0"/>
  </r>
  <r>
    <x v="3"/>
    <x v="19"/>
    <s v="Jugador/a"/>
    <s v="PAR-2627-0158"/>
    <s v="Eniel García Madero"/>
    <s v="1836087@uab.cat"/>
    <s v="egarciamadero08@gmail.com"/>
    <n v="0"/>
  </r>
  <r>
    <x v="3"/>
    <x v="19"/>
    <s v="Jugador/a"/>
    <s v="PAR-2627-0159"/>
    <s v="Luca Mitchell"/>
    <s v="1791768@uab.cat"/>
    <s v="lucamitchell474@gmail.com"/>
    <n v="0"/>
  </r>
  <r>
    <x v="3"/>
    <x v="19"/>
    <s v="Jugador/a"/>
    <s v="PAR-2627-0160"/>
    <s v="POL Navarro Rodriguez"/>
    <s v="1679236@uab.cat"/>
    <s v="1679236@uab.cat"/>
    <n v="0"/>
  </r>
  <r>
    <x v="3"/>
    <x v="19"/>
    <s v="Jugador/a"/>
    <s v="PAR-2627-0161"/>
    <s v="zhezheng xie"/>
    <s v="1818741@uab.cat"/>
    <s v="1818741@uab.cat"/>
    <n v="0"/>
  </r>
  <r>
    <x v="3"/>
    <x v="27"/>
    <s v="Delegat/a"/>
    <s v="PAR-2627-0162"/>
    <s v="Bruno Mesa López"/>
    <s v="1745087@uab.cat"/>
    <s v="brunomesalopez@gmail.com"/>
    <n v="0"/>
  </r>
  <r>
    <x v="3"/>
    <x v="27"/>
    <s v="Jugador/a"/>
    <s v="PAR-2627-0163"/>
    <s v="Bruno Mesa Lopez"/>
    <s v="1745087@uab.cat"/>
    <s v="brunomesalopez@gmail.com"/>
    <n v="0"/>
  </r>
  <r>
    <x v="3"/>
    <x v="28"/>
    <s v="Jugador/a"/>
    <s v="PAR-2627-0164"/>
    <s v="Jan Pujós Roncero"/>
    <s v="1791108@uab.cat"/>
    <s v="janpujos18@gmail.com"/>
    <n v="0"/>
  </r>
  <r>
    <x v="3"/>
    <x v="29"/>
    <s v="Delegat/a"/>
    <s v="PAR-2627-0165"/>
    <s v="Mustapha Lagui Ben Hami"/>
    <s v="1747839@uab.cat"/>
    <s v="1747839@uab.cat"/>
    <n v="0"/>
  </r>
  <r>
    <x v="3"/>
    <x v="29"/>
    <s v="Jugador/a"/>
    <s v="PAR-2627-0166"/>
    <s v="Arnau Guasch Pérez"/>
    <s v="1744871@uab.cat"/>
    <s v="aguasch06@gmail.com"/>
    <n v="0"/>
  </r>
  <r>
    <x v="3"/>
    <x v="29"/>
    <s v="Jugador/a"/>
    <s v="PAR-2627-0167"/>
    <s v="César Alexander González Castillo"/>
    <s v="1749789@uab.cat"/>
    <s v="pitiki27@gmail.com"/>
    <n v="0"/>
  </r>
  <r>
    <x v="3"/>
    <x v="29"/>
    <s v="Jugador/a"/>
    <s v="PAR-2627-0168"/>
    <s v="Enric Ferrer Caballero "/>
    <s v="1745680@uab.cat"/>
    <s v="enricfc06@gmail.com"/>
    <n v="0"/>
  </r>
  <r>
    <x v="3"/>
    <x v="29"/>
    <s v="Jugador/a"/>
    <s v="PAR-2627-0169"/>
    <s v="Isaac Murphy"/>
    <s v="1751841@uab.cat"/>
    <s v="isaac.murphy0025@gmail.com"/>
    <n v="0"/>
  </r>
  <r>
    <x v="3"/>
    <x v="29"/>
    <s v="Jugador/a"/>
    <s v="PAR-2627-0170"/>
    <s v="Jihad El Aluei El Youssfy"/>
    <s v="1836796@uab.cat"/>
    <s v="1836796@uab.cat"/>
    <n v="0"/>
  </r>
  <r>
    <x v="3"/>
    <x v="29"/>
    <s v="Jugador/a"/>
    <s v="PAR-2627-0171"/>
    <s v="Mirco Basili"/>
    <s v="1747772@uab.cat"/>
    <s v="mirco.basili1@gmail.com"/>
    <n v="0"/>
  </r>
  <r>
    <x v="3"/>
    <x v="29"/>
    <s v="Jugador/a"/>
    <s v="PAR-2627-0172"/>
    <s v="Victor Segura García"/>
    <s v="1748917@uab.cat"/>
    <s v="1748917@uab.cat"/>
    <n v="0"/>
  </r>
  <r>
    <x v="3"/>
    <x v="29"/>
    <s v="Jugador/a"/>
    <s v="PAR-2627-0173"/>
    <s v="Walid Khairoun El Aakel"/>
    <s v="1753098@uab.cat"/>
    <s v="1753098@uab.cat"/>
    <n v="0"/>
  </r>
  <r>
    <x v="3"/>
    <x v="29"/>
    <s v="Jugador/a"/>
    <s v="PAR-2627-0174"/>
    <s v="Younes Erhahyt Sanchez "/>
    <s v="1749013@uab.cat"/>
    <s v="Yerhahytsanchez@gmail.com"/>
    <n v="0"/>
  </r>
  <r>
    <x v="3"/>
    <x v="29"/>
    <s v="Jugador/a"/>
    <s v="PAR-2627-0175"/>
    <s v="Yuchang Pan"/>
    <s v="1708970@uab.cat"/>
    <s v="yuchangpan05@gmail.com"/>
    <n v="0"/>
  </r>
  <r>
    <x v="3"/>
    <x v="30"/>
    <s v="Delegat/a"/>
    <s v="PAR-2627-0176"/>
    <s v="Iago Pedro Daglio Grooscors"/>
    <s v="1836429@uab.cat"/>
    <s v="1836429@uab.cat"/>
    <n v="0"/>
  </r>
  <r>
    <x v="3"/>
    <x v="30"/>
    <s v="Jugador/a"/>
    <s v="PAR-2627-0177"/>
    <s v="Adrián Galán Gómez "/>
    <s v="1839986@uab.cat"/>
    <s v="adriangalan122008@gmail.com"/>
    <n v="0"/>
  </r>
  <r>
    <x v="3"/>
    <x v="30"/>
    <s v="Jugador/a"/>
    <s v="PAR-2627-0178"/>
    <s v="Diego Álvarez"/>
    <s v="1835953@uab.cat"/>
    <s v="3stud1osdiego@gmail.com"/>
    <n v="0"/>
  </r>
  <r>
    <x v="3"/>
    <x v="30"/>
    <s v="Jugador/a"/>
    <s v="PAR-2627-0179"/>
    <s v="Fabio Senserrich Gázquez "/>
    <s v="1836197@uab.cat"/>
    <s v="fabio.sensemayor@gmail.com"/>
    <n v="0"/>
  </r>
  <r>
    <x v="3"/>
    <x v="30"/>
    <s v="Jugador/a"/>
    <s v="PAR-2627-0180"/>
    <s v="Guillem Villaverde Peraita"/>
    <s v="1836350@uab.cat"/>
    <s v="guillem.villaverde@gmail.com"/>
    <n v="0"/>
  </r>
  <r>
    <x v="3"/>
    <x v="30"/>
    <s v="Jugador/a"/>
    <s v="PAR-2627-0181"/>
    <s v="Iago Orosa Rilo"/>
    <s v="1842452@uab.cat"/>
    <s v="iagoorosa@gmail.com"/>
    <n v="0"/>
  </r>
  <r>
    <x v="3"/>
    <x v="30"/>
    <s v="Jugador/a"/>
    <s v="PAR-2627-0182"/>
    <s v="Jaume Pasqual Martí"/>
    <s v="1842579@uab.cat"/>
    <s v="jaumemarti712@gmail.com"/>
    <n v="0"/>
  </r>
  <r>
    <x v="3"/>
    <x v="30"/>
    <s v="Jugador/a"/>
    <s v="PAR-2627-0183"/>
    <s v="Jordi Soler Gaspà "/>
    <s v="1736680@uab.cat"/>
    <s v="Sgjordi210309@gmail.com"/>
    <n v="0"/>
  </r>
  <r>
    <x v="3"/>
    <x v="30"/>
    <s v="Jugador/a"/>
    <s v="PAR-2627-0184"/>
    <s v="Pol Quesada Redondo "/>
    <s v="1838731@uab.cat"/>
    <s v="pol.sefra@gmail.com"/>
    <n v="0"/>
  </r>
  <r>
    <x v="3"/>
    <x v="31"/>
    <s v="Delegat/a"/>
    <s v="PAR-2627-0185"/>
    <s v="Oriol Cano García"/>
    <s v="1752732@uab.cat"/>
    <s v="oriolcanogarcia2@gmail.com"/>
    <n v="0"/>
  </r>
  <r>
    <x v="3"/>
    <x v="31"/>
    <s v="Jugador/a"/>
    <s v="PAR-2627-0186"/>
    <s v="Àlex Ros Valero"/>
    <s v="1749638@uab.cat"/>
    <s v="alexbellcaire307@gmail.com"/>
    <n v="0"/>
  </r>
  <r>
    <x v="3"/>
    <x v="31"/>
    <s v="Jugador/a"/>
    <s v="PAR-2627-0187"/>
    <s v="Biel Pes Ruiz"/>
    <s v="1789899@uab.cat"/>
    <s v="bielprtremp@gmail.com"/>
    <n v="0"/>
  </r>
  <r>
    <x v="3"/>
    <x v="31"/>
    <s v="Jugador/a"/>
    <s v="PAR-2627-0188"/>
    <s v="Diego Évole Delgado"/>
    <s v="1751527@uab.cat"/>
    <s v="diegoevoledelgado@gmail.com"/>
    <n v="0"/>
  </r>
  <r>
    <x v="3"/>
    <x v="31"/>
    <s v="Jugador/a"/>
    <s v="PAR-2627-0189"/>
    <s v="Irene Largo Mateos"/>
    <s v="1751819@uab.cat"/>
    <s v="1751819@uab.cat"/>
    <n v="0"/>
  </r>
  <r>
    <x v="3"/>
    <x v="31"/>
    <s v="Jugador/a"/>
    <s v="PAR-2627-0190"/>
    <s v="Joan Carretero Pujol"/>
    <s v="1840494@uab.cat"/>
    <s v="jcarreteropujol@gmail.com"/>
    <n v="0"/>
  </r>
  <r>
    <x v="3"/>
    <x v="31"/>
    <s v="Jugador/a"/>
    <s v="PAR-2627-0191"/>
    <s v="Josep Guardiola Molina"/>
    <s v="1746531@uab.cat"/>
    <s v="guardiolamolina06@gmail.com"/>
    <n v="0"/>
  </r>
  <r>
    <x v="3"/>
    <x v="31"/>
    <s v="Jugador/a"/>
    <s v="PAR-2627-0192"/>
    <s v="Martí Barrera Pasqual"/>
    <s v="1752484@uab.cat"/>
    <s v="1752484@uab.cat"/>
    <n v="0"/>
  </r>
  <r>
    <x v="3"/>
    <x v="31"/>
    <s v="Jugador/a"/>
    <s v="PAR-2627-0193"/>
    <s v="Oriol Cano Garcia"/>
    <s v="1752732@uab.cat"/>
    <s v="oriolcanogarcia2@gmail.com"/>
    <n v="0"/>
  </r>
  <r>
    <x v="3"/>
    <x v="31"/>
    <s v="Jugador/a"/>
    <s v="PAR-2627-0194"/>
    <s v="Pablo Constan Arias"/>
    <s v="1795298@uab.cat"/>
    <s v="pabloconstanarias@gmail.com"/>
    <n v="0"/>
  </r>
  <r>
    <x v="3"/>
    <x v="31"/>
    <s v="Jugador/a"/>
    <s v="PAR-2627-0195"/>
    <s v="Pau Beltrán Collet"/>
    <s v="1838537@uab.cat"/>
    <s v="paubeltran78@gmail.com"/>
    <n v="0"/>
  </r>
  <r>
    <x v="3"/>
    <x v="31"/>
    <s v="Jugador/a"/>
    <s v="PAR-2627-0196"/>
    <s v="Pol Cruzate Agusti"/>
    <s v="1748412@uab.cat"/>
    <s v="polcruzate6@gmail.com"/>
    <n v="0"/>
  </r>
  <r>
    <x v="3"/>
    <x v="31"/>
    <s v="Jugador/a"/>
    <s v="PAR-2627-0197"/>
    <s v="Ponç Egea Puigdefabregas"/>
    <s v="1752856@uab.cat"/>
    <s v="poncegeapuigdefabregas@gmail.com"/>
    <n v="0"/>
  </r>
  <r>
    <x v="3"/>
    <x v="32"/>
    <s v="Delegat/a"/>
    <s v="PAR-2627-0198"/>
    <s v="Edgar Ballesteros Olivares"/>
    <s v="1835976@uab.cat"/>
    <s v="1835976@uab.cat"/>
    <n v="0"/>
  </r>
  <r>
    <x v="3"/>
    <x v="33"/>
    <s v="Delegat/a"/>
    <s v="PAR-2627-0199"/>
    <s v="Albert Cortada Abán"/>
    <s v="1702580@uab.cat"/>
    <s v="albert.cortada.aban@gmail.com"/>
    <n v="0"/>
  </r>
  <r>
    <x v="3"/>
    <x v="33"/>
    <s v="Delegat/a"/>
    <s v="PAR-2627-0200"/>
    <s v="Cai Santamaria Brunet"/>
    <s v="1709730@uab.cat"/>
    <s v="cai.sb23@gmail.com"/>
    <n v="0"/>
  </r>
  <r>
    <x v="3"/>
    <x v="33"/>
    <s v="Jugador/a"/>
    <s v="PAR-2627-0201"/>
    <s v="César Puget Ibáñez "/>
    <s v="1709822@uab.cat"/>
    <s v="cesarpugetibanez@gmail.com"/>
    <n v="0"/>
  </r>
  <r>
    <x v="3"/>
    <x v="33"/>
    <s v="Jugador/a"/>
    <s v="PAR-2627-0202"/>
    <s v="Iván Costa Teruel"/>
    <s v="1708379@uab.cat"/>
    <s v="ivancostat@gmail.com"/>
    <n v="0"/>
  </r>
  <r>
    <x v="3"/>
    <x v="33"/>
    <s v="Jugador/a"/>
    <s v="PAR-2627-0203"/>
    <s v="Jaume Capdevila Jové"/>
    <s v="1494677@uab.cat"/>
    <s v="jaumecapdevilajove@gmail.com"/>
    <n v="0"/>
  </r>
  <r>
    <x v="3"/>
    <x v="33"/>
    <s v="Jugador/a"/>
    <s v="PAR-2627-0204"/>
    <s v="Mateo Rodríguez Parra"/>
    <s v="1603498@uab.cat"/>
    <s v="mateorodriguez90@gmail.com"/>
    <n v="0"/>
  </r>
  <r>
    <x v="3"/>
    <x v="33"/>
    <s v="Jugador/a"/>
    <s v="PAR-2627-0205"/>
    <s v="Oriol Anguera Milà"/>
    <s v="1706429@uab.cat"/>
    <s v="oangueram@gmail.com"/>
    <n v="0"/>
  </r>
  <r>
    <x v="3"/>
    <x v="33"/>
    <s v="Jugador/a"/>
    <s v="PAR-2627-0206"/>
    <s v="Raül Cardenal Jiménez"/>
    <s v="1708852@uab.cat"/>
    <s v="raul010605@gmail.com"/>
    <n v="0"/>
  </r>
  <r>
    <x v="3"/>
    <x v="33"/>
    <s v="Jugador/a"/>
    <s v="PAR-2627-0207"/>
    <s v="Ruben Rodriguez Lopez"/>
    <s v="1706920@uab.cat"/>
    <s v="ruben.rodpersonal@gmail.com"/>
    <n v="0"/>
  </r>
  <r>
    <x v="3"/>
    <x v="34"/>
    <s v="Delegat/a"/>
    <s v="PAR-2627-0208"/>
    <s v="Dídac Oliva Romero-Isart"/>
    <s v="1790365@uab.cat"/>
    <s v="dolivaromeroisart@gmail.com"/>
    <n v="0"/>
  </r>
  <r>
    <x v="3"/>
    <x v="34"/>
    <s v="Jugador/a"/>
    <s v="PAR-2627-0209"/>
    <s v="Aimar Aramburu Molina"/>
    <s v="1789187@uab.cat"/>
    <s v="aramburumolinaaimar@gmail.com"/>
    <n v="0"/>
  </r>
  <r>
    <x v="3"/>
    <x v="34"/>
    <s v="Jugador/a"/>
    <s v="PAR-2627-0210"/>
    <s v="Àlex Bosch Castilla"/>
    <s v="1789442@uab.cat"/>
    <s v="Alex.bosch.2007@gmail.com"/>
    <n v="0"/>
  </r>
  <r>
    <x v="3"/>
    <x v="34"/>
    <s v="Jugador/a"/>
    <s v="PAR-2627-0211"/>
    <s v="Àlex Pelàez De Gea"/>
    <s v="1789453@uab.cat"/>
    <s v="alex.pelaezdegea@gmail.com"/>
    <n v="0"/>
  </r>
  <r>
    <x v="3"/>
    <x v="34"/>
    <s v="Jugador/a"/>
    <s v="PAR-2627-0212"/>
    <s v="Ariadna Serra Gias"/>
    <s v="1789730@uab.cat"/>
    <s v="ariadnaserragias@gmail.com"/>
    <n v="0"/>
  </r>
  <r>
    <x v="3"/>
    <x v="34"/>
    <s v="Jugador/a"/>
    <s v="PAR-2627-0213"/>
    <s v="Arnau Ferrer Lucio"/>
    <s v="1789759@uab.cat"/>
    <s v="arnauferrerlucio@gmail.com"/>
    <n v="0"/>
  </r>
  <r>
    <x v="3"/>
    <x v="34"/>
    <s v="Jugador/a"/>
    <s v="PAR-2627-0214"/>
    <s v="Bernat Juncà i Sucarrats"/>
    <s v="1789850@uab.cat"/>
    <s v="bernat.junca12@gmail.com"/>
    <n v="0"/>
  </r>
  <r>
    <x v="3"/>
    <x v="34"/>
    <s v="Jugador/a"/>
    <s v="PAR-2627-0215"/>
    <s v="Biel Verdaguer Ferrer"/>
    <s v="1789909@uab.cat"/>
    <s v="bielverdaguer23@gmail.com"/>
    <n v="0"/>
  </r>
  <r>
    <x v="3"/>
    <x v="34"/>
    <s v="Jugador/a"/>
    <s v="PAR-2627-0216"/>
    <s v="Martí González Joan"/>
    <s v="1792329@uab.cat"/>
    <s v="martigon56@gmail.com"/>
    <n v="0"/>
  </r>
  <r>
    <x v="3"/>
    <x v="34"/>
    <s v="Jugador/a"/>
    <s v="PAR-2627-0217"/>
    <s v="Mateo Hernández Costas"/>
    <s v="1792422@uab.cat"/>
    <s v="mateohernandezcostas@gmail.com"/>
    <n v="0"/>
  </r>
  <r>
    <x v="3"/>
    <x v="34"/>
    <s v="Jugador/a"/>
    <s v="PAR-2627-0218"/>
    <s v="Mohamed El Morabit"/>
    <s v="1706122@uab.cat"/>
    <s v="mxhaa888@gmail.com"/>
    <n v="0"/>
  </r>
  <r>
    <x v="3"/>
    <x v="34"/>
    <s v="Jugador/a"/>
    <s v="PAR-2627-0219"/>
    <s v="Pau Nieto Bou"/>
    <s v="1792992@uab.cat"/>
    <s v="didaquet97@gmail.com"/>
    <n v="0"/>
  </r>
  <r>
    <x v="4"/>
    <x v="35"/>
    <s v="Jugador/a"/>
    <s v="PAR-2627-0220"/>
    <s v="Alba Ortiz"/>
    <s v="1749613@uab.cat"/>
    <s v="1749613@uab.cat"/>
    <n v="0"/>
  </r>
  <r>
    <x v="4"/>
    <x v="35"/>
    <s v="Jugador/a"/>
    <s v="PAR-2627-0221"/>
    <s v="Catherine Canon-Almagro"/>
    <s v="1827336@uab.cat"/>
    <s v="catherinecanon44@gmail.com"/>
    <n v="0"/>
  </r>
  <r>
    <x v="4"/>
    <x v="35"/>
    <s v="Jugador/a"/>
    <s v="PAR-2627-0222"/>
    <s v="Lara García Sánchez "/>
    <s v="1840589@uab.cat"/>
    <s v="1840589@uab.cat"/>
    <n v="0"/>
  </r>
  <r>
    <x v="4"/>
    <x v="35"/>
    <s v="Jugador/a"/>
    <s v="PAR-2627-0223"/>
    <s v="Malea Li Forcadell Esteller"/>
    <s v="1668210@uab.cat"/>
    <s v="malenaforcadell@gmail.com"/>
    <n v="0"/>
  </r>
  <r>
    <x v="4"/>
    <x v="35"/>
    <s v="Jugador/a"/>
    <s v="PAR-2627-0224"/>
    <s v="Maria Eugenia Aliaga Castillo"/>
    <s v="1824139@uab.cat"/>
    <s v="maliagacas@gmail.com"/>
    <n v="0"/>
  </r>
  <r>
    <x v="4"/>
    <x v="35"/>
    <s v="Jugador/a"/>
    <s v="PAR-2627-0225"/>
    <s v="Marina Cugat Garcia"/>
    <s v="1747418@uab.cat"/>
    <s v="marinacugatgarcia@gmail.com"/>
    <n v="0"/>
  </r>
  <r>
    <x v="4"/>
    <x v="35"/>
    <s v="Jugador/a"/>
    <s v="PAR-2627-0226"/>
    <s v="Naila Hussain Coelho "/>
    <s v="1843190@uab.cat"/>
    <s v="1843190@uab.cat"/>
    <n v="0"/>
  </r>
  <r>
    <x v="4"/>
    <x v="35"/>
    <s v="Jugador/a"/>
    <s v="PAR-2627-0227"/>
    <s v="Salwa Zaouia"/>
    <s v="1798380@uab.cat"/>
    <s v="salwazr9@gmail.com"/>
    <n v="0"/>
  </r>
  <r>
    <x v="4"/>
    <x v="35"/>
    <s v="Jugador/a"/>
    <s v="PAR-2627-0228"/>
    <s v="song xuehua"/>
    <s v="1824082@uab.cat"/>
    <s v="susanasong19890809@gmail.com"/>
    <n v="0"/>
  </r>
  <r>
    <x v="5"/>
    <x v="36"/>
    <s v="Delegat/a"/>
    <s v="PAR-2627-0229"/>
    <s v="Carles Marí Cardona"/>
    <s v="1755743@uab.cat"/>
    <s v="carlesmari9@gmail.com"/>
    <n v="0"/>
  </r>
  <r>
    <x v="5"/>
    <x v="37"/>
    <s v="Delegat/a"/>
    <s v="PAR-2627-0230"/>
    <s v="Ian Roca Lopez"/>
    <s v="1704315@uab.cat"/>
    <s v="1704315@uab.cat"/>
    <n v="0"/>
  </r>
  <r>
    <x v="5"/>
    <x v="37"/>
    <s v="Jugador/a"/>
    <s v="PAR-2627-0231"/>
    <s v="Daniel Bonilla Guevara"/>
    <s v="1708212@uab.cat"/>
    <s v="danielbonilla278132@gmail.com"/>
    <n v="0"/>
  </r>
  <r>
    <x v="5"/>
    <x v="38"/>
    <s v="Delegat/a"/>
    <s v="PAR-2627-0232"/>
    <s v="Queralt Ballester Lecina"/>
    <s v="1795400@uab.cat"/>
    <s v="queraltballester@gmail.com"/>
    <n v="0"/>
  </r>
  <r>
    <x v="5"/>
    <x v="39"/>
    <s v="Delegat/a"/>
    <s v="PAR-2627-0233"/>
    <s v="Iker López Marcos"/>
    <s v="1746098@uab.cat"/>
    <s v="1746098@uab.cat"/>
    <n v="0"/>
  </r>
  <r>
    <x v="5"/>
    <x v="40"/>
    <s v="Delegat/a"/>
    <s v="PAR-2627-0234"/>
    <s v="Joan Vicenç Galvañ Gutiérrez"/>
    <s v="1791237@uab.cat"/>
    <s v="jgalvangu@gmail.com"/>
    <n v="0"/>
  </r>
  <r>
    <x v="5"/>
    <x v="40"/>
    <s v="Jugador/a"/>
    <s v="PAR-2627-0235"/>
    <s v="Joan Vicenç Galvañ Gutierrez"/>
    <s v="1791237@uab.cat"/>
    <s v="jgalvangu@gmail.com"/>
    <n v="0"/>
  </r>
  <r>
    <x v="5"/>
    <x v="40"/>
    <s v="Jugador/a"/>
    <s v="PAR-2627-0236"/>
    <s v="Pablo Rodríguez Pérez"/>
    <s v="1792940@uab.cat"/>
    <s v="pablo.osoxdxd@gmail.com"/>
    <n v="0"/>
  </r>
  <r>
    <x v="5"/>
    <x v="41"/>
    <s v="Delegat/a"/>
    <s v="PAR-2627-0237"/>
    <s v="Luis Emilio Hernández Morelos"/>
    <s v="1823243@uab.cat"/>
    <s v="1823243@uab.cat"/>
    <n v="0"/>
  </r>
  <r>
    <x v="5"/>
    <x v="41"/>
    <s v="Jugador/a"/>
    <s v="PAR-2627-0238"/>
    <s v="Luis Emilio Hernández Morelos "/>
    <s v="1823243@uab.cat"/>
    <s v="1823243@uab.cat"/>
    <n v="0"/>
  </r>
  <r>
    <x v="5"/>
    <x v="42"/>
    <s v="Delegat/a"/>
    <s v="PAR-2627-0239"/>
    <s v="Raúl López De la Casa"/>
    <s v="1793171@uab.cat"/>
    <s v="rulo8194@gmail.com"/>
    <n v="0"/>
  </r>
  <r>
    <x v="5"/>
    <x v="43"/>
    <s v="Delegat/a"/>
    <s v="PAR-2627-0240"/>
    <s v="Laia Vall Grau"/>
    <s v="1837209@uab.cat"/>
    <s v="laiavg7@gmail.com"/>
    <n v="0"/>
  </r>
  <r>
    <x v="5"/>
    <x v="43"/>
    <s v="Delegat/a"/>
    <s v="PAR-2627-0241"/>
    <s v="Mireia Clemot Escribano"/>
    <s v="1838075@uab.cat"/>
    <s v="mireiaclemot@icloud.com"/>
    <n v="0"/>
  </r>
  <r>
    <x v="5"/>
    <x v="44"/>
    <s v="Delegat/a"/>
    <s v="PAR-2627-0242"/>
    <s v="Kevin Martínez Olvera"/>
    <s v="1752072@uab.cat"/>
    <s v="kevinmartinezolvera@gmail.com"/>
    <n v="0"/>
  </r>
  <r>
    <x v="5"/>
    <x v="45"/>
    <s v="Delegat/a"/>
    <s v="PAR-2627-0243"/>
    <s v="Jordi Soler Gaspà"/>
    <s v="1736680@uab.cat"/>
    <s v="Sgjordi210309@gmail.com"/>
    <n v="0"/>
  </r>
  <r>
    <x v="5"/>
    <x v="46"/>
    <s v="Delegat/a"/>
    <s v="PAR-2627-0244"/>
    <s v="Oriol Santos Saló"/>
    <s v="1838487@uab.cat"/>
    <s v="1838487@uab.cat"/>
    <n v="0"/>
  </r>
  <r>
    <x v="5"/>
    <x v="46"/>
    <s v="Jugador/a"/>
    <s v="PAR-2627-0245"/>
    <s v="Lluc Marugán Ferrer"/>
    <s v="1837356@uab.cat"/>
    <s v="ferrermarugan@gmail.com"/>
    <n v="0"/>
  </r>
  <r>
    <x v="5"/>
    <x v="47"/>
    <s v="Delegat/a"/>
    <s v="PAR-2627-0246"/>
    <s v="Noelia Azcurrain Álvarez"/>
    <s v="1792788@uab.cat"/>
    <s v="noeliaazcurrainalvarez@gmail.com"/>
    <n v="0"/>
  </r>
  <r>
    <x v="5"/>
    <x v="47"/>
    <s v="Jugador/a"/>
    <s v="PAR-2627-0247"/>
    <s v="Bernat Sala Arcos"/>
    <s v="1835418@uab.cat"/>
    <s v="bernatsalaarcos@gmail.com"/>
    <n v="0"/>
  </r>
  <r>
    <x v="5"/>
    <x v="47"/>
    <s v="Jugador/a"/>
    <s v="PAR-2627-0248"/>
    <s v="Noelia Azcurrain Alvarez"/>
    <s v="1792788@uab.cat"/>
    <s v="noeliaazcurrainalvarez@gmail.com"/>
    <n v="0"/>
  </r>
  <r>
    <x v="5"/>
    <x v="48"/>
    <s v="Delegat/a"/>
    <s v="PAR-2627-0249"/>
    <s v="Arnau López Lozano"/>
    <s v="1744876@uab.cat"/>
    <s v="arnaulopezlozano@gmail.com"/>
    <n v="0"/>
  </r>
  <r>
    <x v="5"/>
    <x v="49"/>
    <s v="Delegat/a"/>
    <s v="PAR-2627-0250"/>
    <s v="Albert Cortada Abán"/>
    <s v="1702580@uab.cat"/>
    <s v="albert.cortada.aban@gmail.com"/>
    <n v="0"/>
  </r>
  <r>
    <x v="5"/>
    <x v="49"/>
    <s v="Jugador/a"/>
    <s v="PAR-2627-0251"/>
    <s v="Albert Cortada Aban"/>
    <s v="1702580@uab.cat"/>
    <s v="albert.cortada.aban@gmail.com"/>
    <n v="0"/>
  </r>
  <r>
    <x v="5"/>
    <x v="49"/>
    <s v="Jugador/a"/>
    <s v="PAR-2627-0252"/>
    <s v="Marc Hernández Jiménez"/>
    <s v="1705493@uab.cat"/>
    <s v="Marc.hernandez.jimenez@gmail.com"/>
    <n v="0"/>
  </r>
  <r>
    <x v="5"/>
    <x v="50"/>
    <s v="Delegat/a"/>
    <s v="PAR-2627-0253"/>
    <s v="Xiaoqun Shi"/>
    <s v="1819409@uab.cat"/>
    <s v="1819409@uab.cat"/>
    <n v="0"/>
  </r>
  <r>
    <x v="6"/>
    <x v="51"/>
    <s v="Delegat/a"/>
    <s v="PAR-2627-0254"/>
    <s v="Johan Sené Usón"/>
    <s v="1750066@uab.cat"/>
    <s v="1750066@uab.cat"/>
    <n v="0"/>
  </r>
  <r>
    <x v="6"/>
    <x v="52"/>
    <s v="Delegat/a"/>
    <s v="PAR-2627-0255"/>
    <s v="Daniela Ripol Gibert"/>
    <s v="1835882@uab.cat"/>
    <s v="1835882@uab.cat"/>
    <n v="0"/>
  </r>
  <r>
    <x v="6"/>
    <x v="53"/>
    <s v="Delegat/a"/>
    <s v="PAR-2627-0256"/>
    <s v="Juan Alejandro Rodríguez Potosí"/>
    <s v="1710413@uab.cat"/>
    <s v="alexropo2005@gmail.com"/>
    <n v="0"/>
  </r>
  <r>
    <x v="6"/>
    <x v="53"/>
    <s v="Jugador/a"/>
    <s v="PAR-2627-0257"/>
    <s v="Alejandro Rodríguez Potosí"/>
    <s v="1710413@uab.cat"/>
    <s v="alexropo2005@gmail.com"/>
    <n v="0"/>
  </r>
  <r>
    <x v="6"/>
    <x v="53"/>
    <s v="Jugador/a"/>
    <s v="PAR-2627-0258"/>
    <s v="Noelia Azcurrain Alvarez"/>
    <s v="1792788@uab.cat"/>
    <s v="noeliaazcurrainalvarez@gmail.com"/>
    <n v="0"/>
  </r>
  <r>
    <x v="6"/>
    <x v="54"/>
    <s v="Delegat/a"/>
    <s v="PAR-2627-0259"/>
    <s v="David Díaz Sánchez"/>
    <s v="1745468@uab.cat"/>
    <s v="1745468@uab.cat"/>
    <n v="0"/>
  </r>
  <r>
    <x v="7"/>
    <x v="55"/>
    <s v="Jugador/a"/>
    <s v="PAR-2627-0260"/>
    <s v="Alexandre Jambou Migallón"/>
    <s v="1751085@uab.cat"/>
    <s v="1751085@uab.cat"/>
    <n v="0"/>
  </r>
  <r>
    <x v="7"/>
    <x v="56"/>
    <s v="Jugador/a"/>
    <s v="PAR-2627-0261"/>
    <s v="ares codina gros"/>
    <s v="1841881@uab.cat"/>
    <s v="arescodina24@gmail.com"/>
    <n v="0"/>
  </r>
  <r>
    <x v="7"/>
    <x v="57"/>
    <s v="Jugador/a"/>
    <s v="PAR-2627-0262"/>
    <s v="Armand Arranz Lange-Prollius"/>
    <s v="1835307@uab.cat"/>
    <s v="1835307@uab.cat"/>
    <n v="0"/>
  </r>
  <r>
    <x v="7"/>
    <x v="58"/>
    <s v="Jugador/a"/>
    <s v="PAR-2627-0263"/>
    <s v="Arnau Balagué Barceló"/>
    <s v="1841901@uab.cat"/>
    <s v="1841901@uab.cat"/>
    <n v="0"/>
  </r>
  <r>
    <x v="7"/>
    <x v="59"/>
    <s v="Jugador/a"/>
    <s v="PAR-2627-0265"/>
    <s v="Erika Pontillo Ferragonio"/>
    <s v="1844345@uab.cat"/>
    <s v="erikaapontillof@gmail.com"/>
    <n v="0"/>
  </r>
  <r>
    <x v="7"/>
    <x v="60"/>
    <s v="Jugador/a"/>
    <s v="PAR-2627-0266"/>
    <s v="Francisco de Gomis Godia"/>
    <s v="1846479@uab.cat"/>
    <s v="fco_degomis@hotmail.com"/>
    <n v="0"/>
  </r>
  <r>
    <x v="7"/>
    <x v="61"/>
    <s v="Jugador/a"/>
    <s v="PAR-2627-0267"/>
    <s v="Guillem García Casado "/>
    <s v="1704194@uab.cat"/>
    <s v="guillemgarciauab@gmail.com"/>
    <n v="0"/>
  </r>
  <r>
    <x v="7"/>
    <x v="62"/>
    <s v="Jugador/a"/>
    <s v="PAR-2627-0268"/>
    <s v="Haoming Yu"/>
    <s v="1814490@uab.cat"/>
    <s v="yuhowmean@gmail.com"/>
    <n v="0"/>
  </r>
  <r>
    <x v="7"/>
    <x v="63"/>
    <s v="Jugador/a"/>
    <s v="PAR-2627-0269"/>
    <s v="Iker López Marcos"/>
    <s v="1746098@uab.cat"/>
    <s v="1746098@uab.cat"/>
    <n v="0"/>
  </r>
  <r>
    <x v="7"/>
    <x v="64"/>
    <s v="Jugador/a"/>
    <s v="PAR-2627-0270"/>
    <s v="Konrad Räusch"/>
    <s v="1829049@uab.cat"/>
    <s v="konrad.raeusch@gmail.com"/>
    <n v="0"/>
  </r>
  <r>
    <x v="7"/>
    <x v="65"/>
    <s v="Jugador/a"/>
    <s v="PAR-2627-0271"/>
    <s v="Marc Graciano Deltell"/>
    <s v="1837560@uab.cat"/>
    <s v="marcgracianodeltell@gmail.com"/>
    <n v="0"/>
  </r>
  <r>
    <x v="7"/>
    <x v="66"/>
    <s v="Jugador/a"/>
    <s v="PAR-2627-0272"/>
    <s v="Marc Pigem Style"/>
    <s v="1747257@uab.cat"/>
    <s v="marcpigemstyle8@gmail.com"/>
    <n v="0"/>
  </r>
  <r>
    <x v="7"/>
    <x v="67"/>
    <s v="Jugador/a"/>
    <s v="PAR-2627-0273"/>
    <s v="Marc Roquer Porta"/>
    <s v="1837588@uab.cat"/>
    <s v="marcroquerporta@gmail.com"/>
    <n v="0"/>
  </r>
  <r>
    <x v="7"/>
    <x v="68"/>
    <s v="Jugador/a"/>
    <s v="PAR-2627-0274"/>
    <s v="Mario Boza Manríquez"/>
    <s v="1792208@uab.cat"/>
    <s v="mario.bozaman@gmail.com"/>
    <n v="0"/>
  </r>
  <r>
    <x v="7"/>
    <x v="69"/>
    <s v="Jugador/a"/>
    <s v="PAR-2627-0275"/>
    <s v="Miquel Martinez Quer"/>
    <s v="1708700@uab.cat"/>
    <s v="1708700@uab.cat"/>
    <n v="0"/>
  </r>
  <r>
    <x v="7"/>
    <x v="70"/>
    <s v="Jugador/a"/>
    <s v="PAR-2627-0276"/>
    <s v="Nicolas Carrera Angulo"/>
    <s v="1747972@uab.cat"/>
    <s v="proaso2006@gmail.com"/>
    <n v="0"/>
  </r>
  <r>
    <x v="7"/>
    <x v="71"/>
    <s v="Jugador/a"/>
    <s v="PAR-2627-0277"/>
    <s v="Pep Murtra Sabaté"/>
    <s v="1821158@uab.cat"/>
    <s v="1821158@uab.cat"/>
    <n v="0"/>
  </r>
  <r>
    <x v="7"/>
    <x v="72"/>
    <s v="Jugador/a"/>
    <s v="PAR-2627-0278"/>
    <s v="Sau Alemany Güeto"/>
    <s v="1752968@uab.cat"/>
    <s v="Sau.Alemany@autonoma.cat"/>
    <n v="0"/>
  </r>
  <r>
    <x v="7"/>
    <x v="73"/>
    <s v="Jugador/a"/>
    <s v="PAR-2627-0279"/>
    <s v="Unai Blazquez Quintana"/>
    <s v="1793482@uab.cat"/>
    <s v="unaiblqu@gmail.com"/>
    <n v="0"/>
  </r>
  <r>
    <x v="7"/>
    <x v="74"/>
    <s v="Jugador/a"/>
    <s v="PAR-2627-0280"/>
    <s v="Víctor Córdoba Pérez"/>
    <s v="1570464@uab.cat"/>
    <s v="vicorez11@outlook.es"/>
    <n v="0"/>
  </r>
  <r>
    <x v="7"/>
    <x v="5"/>
    <s v="Jugador/a"/>
    <s v="PAR-2627-0281"/>
    <s v="Víctor Guijarro Turowska"/>
    <s v="1841063@uab.cat"/>
    <s v="vicguitur@gmail.com"/>
    <n v="0"/>
  </r>
  <r>
    <x v="8"/>
    <x v="75"/>
    <s v="Delegat/a"/>
    <s v="PAR-2627-0282"/>
    <s v="Edurne Correa Aguiló"/>
    <s v="1842212@uab.cat"/>
    <s v="1842212@uab.cat"/>
    <n v="0"/>
  </r>
  <r>
    <x v="8"/>
    <x v="76"/>
    <s v="Delegat/a"/>
    <s v="PAR-2627-0283"/>
    <s v="Valentina Canzobre Roncador"/>
    <s v="1839144@uab.cat"/>
    <s v="1839144@uab.cat"/>
    <n v="0"/>
  </r>
  <r>
    <x v="8"/>
    <x v="76"/>
    <s v="Jugador/a"/>
    <s v="PAR-2627-0284"/>
    <s v="Júlia Rivas Prat"/>
    <s v="1814065@uab.cat"/>
    <s v="Julia.RivasP@autonoma.cat"/>
    <n v="0"/>
  </r>
  <r>
    <x v="8"/>
    <x v="76"/>
    <s v="Jugador/a"/>
    <s v="PAR-2627-0285"/>
    <s v="Omar El Moukallif Naim"/>
    <s v="1839492@uab.cat"/>
    <s v="1839492@uab.cat"/>
    <n v="0"/>
  </r>
  <r>
    <x v="8"/>
    <x v="76"/>
    <s v="Jugador/a"/>
    <s v="PAR-2627-0286"/>
    <s v="Valentina Canzobre Roncadoe"/>
    <s v="1839144@uab.cat"/>
    <s v="1839144@uab.cat"/>
    <n v="0"/>
  </r>
  <r>
    <x v="8"/>
    <x v="77"/>
    <s v="Delegat/a"/>
    <s v="PAR-2627-0287"/>
    <s v="Eloi Martínez Cayuela"/>
    <s v="1840300@uab.cat"/>
    <s v="martinezcayuelaeloi@gmail.com"/>
    <n v="0"/>
  </r>
  <r>
    <x v="8"/>
    <x v="77"/>
    <s v="Jugador/a"/>
    <s v="PAR-2627-0288"/>
    <s v="Blanca Orfila Serra"/>
    <s v="1841983@uab.cat"/>
    <s v="blancaorfila55@gmail.com"/>
    <n v="0"/>
  </r>
  <r>
    <x v="8"/>
    <x v="77"/>
    <s v="Jugador/a"/>
    <s v="PAR-2627-0289"/>
    <s v="Júlia Espelt Vaz"/>
    <s v="1837028@uab.cat"/>
    <s v="jespeltvaz@gmail.com"/>
    <n v="0"/>
  </r>
  <r>
    <x v="8"/>
    <x v="78"/>
    <s v="Delegat/a"/>
    <s v="PAR-2627-0290"/>
    <s v="Miquel Martínez Alimama"/>
    <s v="1710980@uab.cat"/>
    <s v="mikelma291105@gmail.com"/>
    <n v="0"/>
  </r>
  <r>
    <x v="8"/>
    <x v="78"/>
    <s v="Jugador/a"/>
    <s v="PAR-2627-0291"/>
    <s v="Aleksander Opoka"/>
    <s v="1829990@uab.cat"/>
    <s v="olekopoka@gmail.com"/>
    <n v="0"/>
  </r>
  <r>
    <x v="8"/>
    <x v="78"/>
    <s v="Jugador/a"/>
    <s v="PAR-2627-0292"/>
    <s v="Patryk Drewniak"/>
    <s v="1829308@uab.cat"/>
    <s v="pdrewniak04@gmail.com"/>
    <n v="0"/>
  </r>
  <r>
    <x v="8"/>
    <x v="78"/>
    <s v="Jugador/a"/>
    <s v="PAR-2627-0293"/>
    <s v="Rubén Miño Magaña"/>
    <s v="1793242@uab.cat"/>
    <s v="rmino2006@gmail.com"/>
    <n v="0"/>
  </r>
  <r>
    <x v="8"/>
    <x v="78"/>
    <s v="Jugador/a"/>
    <s v="PAR-2627-0294"/>
    <s v="Wojciech Żukowski "/>
    <s v="1795672@uab.cat"/>
    <s v="Wojtanek.zuk.10@gmail.com"/>
    <n v="0"/>
  </r>
  <r>
    <x v="8"/>
    <x v="79"/>
    <s v="Delegat/a"/>
    <s v="PAR-2627-0295"/>
    <s v="Josa Jové Tubau"/>
    <s v="1836919@uab.cat"/>
    <s v="Jovetubaujosa08@gmail.com"/>
    <n v="0"/>
  </r>
  <r>
    <x v="8"/>
    <x v="79"/>
    <s v="Jugador/a"/>
    <s v="PAR-2627-0296"/>
    <s v="Giovanna Guerra Bomfim"/>
    <s v="1836313@uab.cat"/>
    <s v="guerragiovanna220@gmail.com"/>
    <n v="0"/>
  </r>
  <r>
    <x v="8"/>
    <x v="79"/>
    <s v="Jugador/a"/>
    <s v="PAR-2627-0297"/>
    <s v="Josa Jové Tubau "/>
    <s v="1836919@uab.cat"/>
    <s v="Jovetubaujosa08@gmail.com"/>
    <n v="0"/>
  </r>
  <r>
    <x v="8"/>
    <x v="79"/>
    <s v="Jugador/a"/>
    <s v="PAR-2627-0298"/>
    <s v="Lucia Fernández González "/>
    <s v="1837419@uab.cat"/>
    <s v="luciaafernandezz89@gmail.com"/>
    <n v="0"/>
  </r>
  <r>
    <x v="8"/>
    <x v="79"/>
    <s v="Jugador/a"/>
    <s v="PAR-2627-0299"/>
    <s v="Sarai Mari Rubio"/>
    <s v="1838987@uab.cat"/>
    <s v="smaru5353@gmail.com"/>
    <n v="0"/>
  </r>
  <r>
    <x v="8"/>
    <x v="80"/>
    <s v="Delegat/a"/>
    <s v="PAR-2627-0300"/>
    <s v="Xavier Gaseni Piñol"/>
    <s v="1753108@uab.cat"/>
    <s v="1753108@uab.cat"/>
    <n v="0"/>
  </r>
  <r>
    <x v="8"/>
    <x v="81"/>
    <s v="Delegat/a"/>
    <s v="PAR-2627-0301"/>
    <s v="Martí Castellví Pinedo"/>
    <s v="1837880@uab.cat"/>
    <s v="castellvi1234@gmail.com"/>
    <n v="0"/>
  </r>
  <r>
    <x v="8"/>
    <x v="82"/>
    <s v="Delegat/a"/>
    <s v="PAR-2627-0302"/>
    <s v="Carles Sisó"/>
    <s v="1102230@uab.cat"/>
    <s v="carles.siso@uab.cat"/>
    <n v="0"/>
  </r>
  <r>
    <x v="8"/>
    <x v="82"/>
    <s v="Jugador/a"/>
    <s v="PAR-2627-0303"/>
    <s v="vb1"/>
    <s v="1102230@uab.cat"/>
    <s v="1102230@uab.cat"/>
    <n v="0"/>
  </r>
  <r>
    <x v="8"/>
    <x v="82"/>
    <s v="Jugador/a"/>
    <s v="PAR-2627-0304"/>
    <s v="vb2"/>
    <s v="1102230@uab.cat"/>
    <s v="1102230@uab.cat"/>
    <n v="0"/>
  </r>
  <r>
    <x v="8"/>
    <x v="82"/>
    <s v="Jugador/a"/>
    <s v="PAR-2627-0305"/>
    <s v="vb3"/>
    <s v="1102230@uab.cat"/>
    <s v="1102230@uab.cat"/>
    <n v="0"/>
  </r>
  <r>
    <x v="8"/>
    <x v="82"/>
    <s v="Jugador/a"/>
    <s v="PAR-2627-0306"/>
    <s v="vb4"/>
    <s v="1102230@uab.cat"/>
    <s v="1102230@uab.cat"/>
    <n v="0"/>
  </r>
  <r>
    <x v="8"/>
    <x v="82"/>
    <s v="Jugador/a"/>
    <s v="PAR-2627-0307"/>
    <s v="vb5"/>
    <s v="1102230@uab.cat"/>
    <s v="1102230@uab.cat"/>
    <n v="0"/>
  </r>
  <r>
    <x v="8"/>
    <x v="82"/>
    <s v="Jugador/a"/>
    <s v="PAR-2627-0308"/>
    <s v="vb6"/>
    <s v="1102230@uab.cat"/>
    <s v="1102230@uab.cat"/>
    <n v="0"/>
  </r>
  <r>
    <x v="8"/>
    <x v="82"/>
    <s v="Jugador/a"/>
    <s v="PAR-2627-0309"/>
    <s v="vb7"/>
    <s v="1102230@uab.cat"/>
    <s v="1102230@uab.cat"/>
    <n v="0"/>
  </r>
  <r>
    <x v="8"/>
    <x v="83"/>
    <s v="Jugador/a"/>
    <s v="PAR-2627-0310"/>
    <s v="Gisele Jaccottet Mattos"/>
    <s v="1790746@uab.cat"/>
    <s v="gijaccottet@gmail.com"/>
    <n v="0"/>
  </r>
  <r>
    <x v="8"/>
    <x v="84"/>
    <s v="Delegat/a"/>
    <s v="PAR-2627-0311"/>
    <s v="Dana Itzagueri Ramírez Gonzalez"/>
    <s v="1847720@uab.cat"/>
    <s v="danaitagueri@gmail.com"/>
    <n v="0"/>
  </r>
  <r>
    <x v="8"/>
    <x v="84"/>
    <s v="Jugador/a"/>
    <s v="PAR-2627-0312"/>
    <s v="Gisela Díez Agudo "/>
    <s v="1790736@uab.cat"/>
    <s v="giseladiez2003@gmail.com"/>
    <n v="0"/>
  </r>
  <r>
    <x v="8"/>
    <x v="84"/>
    <s v="Jugador/a"/>
    <s v="PAR-2627-0313"/>
    <s v="María Castillo Lladó"/>
    <s v="1792036@uab.cat"/>
    <s v="mariajack2005@gmail.com"/>
    <n v="0"/>
  </r>
  <r>
    <x v="8"/>
    <x v="84"/>
    <s v="Jugador/a"/>
    <s v="PAR-2627-0314"/>
    <s v="Milica Pejanovic"/>
    <s v="1824989@uab.cat"/>
    <s v="pejenovicmilica28@gmail.com"/>
    <n v="0"/>
  </r>
  <r>
    <x v="8"/>
    <x v="84"/>
    <s v="Jugador/a"/>
    <s v="PAR-2627-0315"/>
    <s v="Sara Piqueras Cepeda"/>
    <s v="1841012@uab.cat"/>
    <s v="sarauab8@gmail.com"/>
    <n v="0"/>
  </r>
  <r>
    <x v="8"/>
    <x v="84"/>
    <s v="Jugador/a"/>
    <s v="PAR-2627-0316"/>
    <s v="Sergio Gilabert Gámez"/>
    <s v="1839018@uab.cat"/>
    <s v="sergiogilabertgamez@gmail.com"/>
    <n v="0"/>
  </r>
  <r>
    <x v="8"/>
    <x v="84"/>
    <s v="Jugador/a"/>
    <s v="PAR-2627-0317"/>
    <s v="Víctor Segura García"/>
    <s v="1748917@uab.cat"/>
    <s v="1748917@uab.cat"/>
    <n v="0"/>
  </r>
  <r>
    <x v="8"/>
    <x v="85"/>
    <s v="Delegat/a"/>
    <s v="PAR-2627-0318"/>
    <s v="Diana Ferrer Cañadas"/>
    <s v="1796865@uab.cat"/>
    <s v="dina4fc28@gmail.com"/>
    <n v="0"/>
  </r>
  <r>
    <x v="8"/>
    <x v="85"/>
    <s v="Jugador/a"/>
    <s v="PAR-2627-0319"/>
    <s v="Clara Puicon"/>
    <s v="1743515@uab.cat"/>
    <s v="Naepuicon@gmail.com"/>
    <n v="0"/>
  </r>
  <r>
    <x v="8"/>
    <x v="85"/>
    <s v="Jugador/a"/>
    <s v="PAR-2627-0320"/>
    <s v="Diana Ferrer"/>
    <s v="1796865@uab.cat"/>
    <s v="dina4fc28@gmail.com"/>
    <n v="0"/>
  </r>
  <r>
    <x v="8"/>
    <x v="85"/>
    <s v="Jugador/a"/>
    <s v="PAR-2627-0321"/>
    <s v="Marcel Artero Merino"/>
    <s v="1792000@uab.cat"/>
    <s v="marcelarteromerino@gmail.com"/>
    <n v="0"/>
  </r>
  <r>
    <x v="8"/>
    <x v="86"/>
    <s v="Delegat/a"/>
    <s v="PAR-2627-0322"/>
    <s v="Alexis Garzón Román"/>
    <s v="1835049@uab.cat"/>
    <s v="Alexis.Garzon@autonoma.cat"/>
    <n v="0"/>
  </r>
  <r>
    <x v="8"/>
    <x v="86"/>
    <s v="Jugador/a"/>
    <s v="PAR-2627-0323"/>
    <s v="Carme Mateo Noguera"/>
    <s v="1749784@uab.cat"/>
    <s v="1749784@uab.cat"/>
    <n v="0"/>
  </r>
  <r>
    <x v="8"/>
    <x v="86"/>
    <s v="Jugador/a"/>
    <s v="PAR-2627-0324"/>
    <s v="Shanti Hernandez Rial"/>
    <s v="1839024@uab.cat"/>
    <s v="correoshanti@gmail.com"/>
    <n v="0"/>
  </r>
  <r>
    <x v="8"/>
    <x v="86"/>
    <s v="Jugador/a"/>
    <s v="PAR-2627-0325"/>
    <s v="Simó Ferrer Puértolas"/>
    <s v="1839049@uab.cat"/>
    <s v="simopuertolas@gmail.com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TablaDinámica1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3:B102" firstHeaderRow="1" firstDataRow="1" firstDataCol="1"/>
  <pivotFields count="8">
    <pivotField axis="axisRow" showAll="0">
      <items count="10">
        <item x="1"/>
        <item x="2"/>
        <item x="3"/>
        <item x="4"/>
        <item x="5"/>
        <item x="6"/>
        <item x="8"/>
        <item x="0"/>
        <item x="7"/>
        <item t="default"/>
      </items>
    </pivotField>
    <pivotField axis="axisRow" showAll="0">
      <items count="94">
        <item x="12"/>
        <item x="75"/>
        <item x="22"/>
        <item x="6"/>
        <item m="1" x="88"/>
        <item x="23"/>
        <item x="7"/>
        <item m="1" x="92"/>
        <item x="8"/>
        <item x="36"/>
        <item x="13"/>
        <item x="37"/>
        <item x="14"/>
        <item x="24"/>
        <item x="25"/>
        <item x="38"/>
        <item x="15"/>
        <item m="1" x="90"/>
        <item x="51"/>
        <item x="39"/>
        <item x="16"/>
        <item x="26"/>
        <item x="18"/>
        <item x="76"/>
        <item x="19"/>
        <item x="35"/>
        <item x="40"/>
        <item x="77"/>
        <item x="78"/>
        <item x="41"/>
        <item x="79"/>
        <item m="1" x="87"/>
        <item x="42"/>
        <item x="27"/>
        <item x="9"/>
        <item x="28"/>
        <item x="29"/>
        <item x="80"/>
        <item x="52"/>
        <item x="43"/>
        <item x="44"/>
        <item x="30"/>
        <item m="1" x="91"/>
        <item m="1" x="89"/>
        <item x="45"/>
        <item x="46"/>
        <item x="47"/>
        <item x="53"/>
        <item x="20"/>
        <item x="10"/>
        <item x="31"/>
        <item x="48"/>
        <item x="81"/>
        <item x="32"/>
        <item x="33"/>
        <item x="11"/>
        <item x="21"/>
        <item x="82"/>
        <item x="34"/>
        <item x="83"/>
        <item x="84"/>
        <item x="85"/>
        <item x="54"/>
        <item x="86"/>
        <item x="49"/>
        <item x="50"/>
        <item x="17"/>
        <item x="0"/>
        <item x="1"/>
        <item x="2"/>
        <item x="3"/>
        <item x="4"/>
        <item x="5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t="default"/>
      </items>
    </pivotField>
    <pivotField showAll="0"/>
    <pivotField showAll="0"/>
    <pivotField showAll="0"/>
    <pivotField dataField="1" showAll="0"/>
    <pivotField showAll="0"/>
    <pivotField showAll="0"/>
  </pivotFields>
  <rowFields count="2">
    <field x="0"/>
    <field x="1"/>
  </rowFields>
  <rowItems count="99">
    <i>
      <x/>
    </i>
    <i r="1">
      <x v="3"/>
    </i>
    <i r="1">
      <x v="6"/>
    </i>
    <i r="1">
      <x v="8"/>
    </i>
    <i r="1">
      <x v="34"/>
    </i>
    <i r="1">
      <x v="49"/>
    </i>
    <i r="1">
      <x v="55"/>
    </i>
    <i>
      <x v="1"/>
    </i>
    <i r="1">
      <x/>
    </i>
    <i r="1">
      <x v="10"/>
    </i>
    <i r="1">
      <x v="12"/>
    </i>
    <i r="1">
      <x v="16"/>
    </i>
    <i r="1">
      <x v="20"/>
    </i>
    <i r="1">
      <x v="22"/>
    </i>
    <i r="1">
      <x v="24"/>
    </i>
    <i r="1">
      <x v="48"/>
    </i>
    <i r="1">
      <x v="56"/>
    </i>
    <i r="1">
      <x v="66"/>
    </i>
    <i>
      <x v="2"/>
    </i>
    <i r="1">
      <x v="2"/>
    </i>
    <i r="1">
      <x v="5"/>
    </i>
    <i r="1">
      <x v="13"/>
    </i>
    <i r="1">
      <x v="14"/>
    </i>
    <i r="1">
      <x v="21"/>
    </i>
    <i r="1">
      <x v="24"/>
    </i>
    <i r="1">
      <x v="33"/>
    </i>
    <i r="1">
      <x v="35"/>
    </i>
    <i r="1">
      <x v="36"/>
    </i>
    <i r="1">
      <x v="41"/>
    </i>
    <i r="1">
      <x v="50"/>
    </i>
    <i r="1">
      <x v="53"/>
    </i>
    <i r="1">
      <x v="54"/>
    </i>
    <i r="1">
      <x v="58"/>
    </i>
    <i>
      <x v="3"/>
    </i>
    <i r="1">
      <x v="25"/>
    </i>
    <i>
      <x v="4"/>
    </i>
    <i r="1">
      <x v="9"/>
    </i>
    <i r="1">
      <x v="11"/>
    </i>
    <i r="1">
      <x v="15"/>
    </i>
    <i r="1">
      <x v="19"/>
    </i>
    <i r="1">
      <x v="26"/>
    </i>
    <i r="1">
      <x v="29"/>
    </i>
    <i r="1">
      <x v="32"/>
    </i>
    <i r="1">
      <x v="39"/>
    </i>
    <i r="1">
      <x v="40"/>
    </i>
    <i r="1">
      <x v="44"/>
    </i>
    <i r="1">
      <x v="45"/>
    </i>
    <i r="1">
      <x v="46"/>
    </i>
    <i r="1">
      <x v="51"/>
    </i>
    <i r="1">
      <x v="64"/>
    </i>
    <i r="1">
      <x v="65"/>
    </i>
    <i>
      <x v="5"/>
    </i>
    <i r="1">
      <x v="18"/>
    </i>
    <i r="1">
      <x v="38"/>
    </i>
    <i r="1">
      <x v="47"/>
    </i>
    <i r="1">
      <x v="62"/>
    </i>
    <i>
      <x v="6"/>
    </i>
    <i r="1">
      <x v="1"/>
    </i>
    <i r="1">
      <x v="23"/>
    </i>
    <i r="1">
      <x v="27"/>
    </i>
    <i r="1">
      <x v="28"/>
    </i>
    <i r="1">
      <x v="30"/>
    </i>
    <i r="1">
      <x v="37"/>
    </i>
    <i r="1">
      <x v="52"/>
    </i>
    <i r="1">
      <x v="57"/>
    </i>
    <i r="1">
      <x v="59"/>
    </i>
    <i r="1">
      <x v="60"/>
    </i>
    <i r="1">
      <x v="61"/>
    </i>
    <i r="1">
      <x v="63"/>
    </i>
    <i>
      <x v="7"/>
    </i>
    <i r="1">
      <x v="67"/>
    </i>
    <i r="1">
      <x v="68"/>
    </i>
    <i r="1">
      <x v="69"/>
    </i>
    <i r="1">
      <x v="70"/>
    </i>
    <i r="1">
      <x v="71"/>
    </i>
    <i r="1">
      <x v="72"/>
    </i>
    <i>
      <x v="8"/>
    </i>
    <i r="1">
      <x v="72"/>
    </i>
    <i r="1">
      <x v="73"/>
    </i>
    <i r="1">
      <x v="74"/>
    </i>
    <i r="1">
      <x v="75"/>
    </i>
    <i r="1">
      <x v="76"/>
    </i>
    <i r="1">
      <x v="77"/>
    </i>
    <i r="1">
      <x v="78"/>
    </i>
    <i r="1">
      <x v="79"/>
    </i>
    <i r="1">
      <x v="80"/>
    </i>
    <i r="1">
      <x v="81"/>
    </i>
    <i r="1">
      <x v="82"/>
    </i>
    <i r="1">
      <x v="83"/>
    </i>
    <i r="1">
      <x v="84"/>
    </i>
    <i r="1">
      <x v="85"/>
    </i>
    <i r="1">
      <x v="86"/>
    </i>
    <i r="1">
      <x v="87"/>
    </i>
    <i r="1">
      <x v="88"/>
    </i>
    <i r="1">
      <x v="89"/>
    </i>
    <i r="1">
      <x v="90"/>
    </i>
    <i r="1">
      <x v="91"/>
    </i>
    <i r="1">
      <x v="92"/>
    </i>
    <i t="grand">
      <x/>
    </i>
  </rowItems>
  <colItems count="1">
    <i/>
  </colItems>
  <dataFields count="1">
    <dataField name="Cuenta de Correu UAB" fld="5" subtotal="count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ContacteEquips" displayName="ContacteEquips" ref="A1:K325" totalsRowShown="0" headerRowDxfId="7" headerRowBorderDxfId="6" tableBorderDxfId="5">
  <sortState xmlns:xlrd2="http://schemas.microsoft.com/office/spreadsheetml/2017/richdata2" ref="A2:H325">
    <sortCondition ref="D2:D325"/>
  </sortState>
  <tableColumns count="11">
    <tableColumn id="1" xr3:uid="{00000000-0010-0000-0100-000001000000}" name="Competició "/>
    <tableColumn id="2" xr3:uid="{00000000-0010-0000-0100-000002000000}" name="Nom de l’equip"/>
    <tableColumn id="3" xr3:uid="{00000000-0010-0000-0100-000003000000}" name="Rol"/>
    <tableColumn id="9" xr3:uid="{00000000-0010-0000-0100-000009000000}" name="IdParticipant"/>
    <tableColumn id="4" xr3:uid="{00000000-0010-0000-0100-000004000000}" name="Nom del Component"/>
    <tableColumn id="5" xr3:uid="{00000000-0010-0000-0100-000005000000}" name="Correu UAB"/>
    <tableColumn id="6" xr3:uid="{00000000-0010-0000-0100-000006000000}" name="Correu Personal" dataDxfId="4"/>
    <tableColumn id="8" xr3:uid="{00000000-0010-0000-0100-000008000000}" name="TotalAssistencies" dataDxfId="3">
      <calculatedColumnFormula>SUMIF(Assistencies!B:B, D2, Assistencies!F:F)</calculatedColumnFormula>
    </tableColumn>
    <tableColumn id="11" xr3:uid="{210CE31C-3ECB-44BF-B75D-DA8A0671D6BE}" name="Gols" dataDxfId="2">
      <calculatedColumnFormula>SUMIF(Assistencies!B:B, D2, Assistencies!H:H)</calculatedColumnFormula>
    </tableColumn>
    <tableColumn id="7" xr3:uid="{AFB3EEF3-E3CE-4BA3-BC1A-2B9D536673A7}" name="Groga" dataDxfId="1">
      <calculatedColumnFormula>SUMIF(Assistencies!B:B, D2, Assistencies!I:I)</calculatedColumnFormula>
    </tableColumn>
    <tableColumn id="10" xr3:uid="{83CB45C9-E05F-4C78-97A4-B48820135BF3}" name="Vermella" dataDxfId="0">
      <calculatedColumnFormula>SUMIF(Assistencies!B:B, D2, Assistencies!J:J)</calculatedColumnFormula>
    </tableColumn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hyperlink" Target="mailto:1102230@uab.cat" TargetMode="External"/><Relationship Id="rId13" Type="http://schemas.openxmlformats.org/officeDocument/2006/relationships/hyperlink" Target="mailto:1102230@uab.cat" TargetMode="External"/><Relationship Id="rId3" Type="http://schemas.openxmlformats.org/officeDocument/2006/relationships/hyperlink" Target="mailto:1102230@uab.cat" TargetMode="External"/><Relationship Id="rId7" Type="http://schemas.openxmlformats.org/officeDocument/2006/relationships/hyperlink" Target="mailto:1102230@uab.cat" TargetMode="External"/><Relationship Id="rId12" Type="http://schemas.openxmlformats.org/officeDocument/2006/relationships/hyperlink" Target="mailto:1102230@uab.cat" TargetMode="External"/><Relationship Id="rId2" Type="http://schemas.openxmlformats.org/officeDocument/2006/relationships/hyperlink" Target="mailto:1102230@uab.cat" TargetMode="External"/><Relationship Id="rId16" Type="http://schemas.openxmlformats.org/officeDocument/2006/relationships/table" Target="../tables/table1.xml"/><Relationship Id="rId1" Type="http://schemas.openxmlformats.org/officeDocument/2006/relationships/hyperlink" Target="mailto:1102230@uab.cat" TargetMode="External"/><Relationship Id="rId6" Type="http://schemas.openxmlformats.org/officeDocument/2006/relationships/hyperlink" Target="mailto:1102230@uab.cat" TargetMode="External"/><Relationship Id="rId11" Type="http://schemas.openxmlformats.org/officeDocument/2006/relationships/hyperlink" Target="mailto:1102230@uab.cat" TargetMode="External"/><Relationship Id="rId5" Type="http://schemas.openxmlformats.org/officeDocument/2006/relationships/hyperlink" Target="mailto:1102230@uab.cat" TargetMode="External"/><Relationship Id="rId15" Type="http://schemas.openxmlformats.org/officeDocument/2006/relationships/hyperlink" Target="mailto:1102230@uab.cat" TargetMode="External"/><Relationship Id="rId10" Type="http://schemas.openxmlformats.org/officeDocument/2006/relationships/hyperlink" Target="mailto:1102230@uab.cat" TargetMode="External"/><Relationship Id="rId4" Type="http://schemas.openxmlformats.org/officeDocument/2006/relationships/hyperlink" Target="mailto:1102230@uab.cat" TargetMode="External"/><Relationship Id="rId9" Type="http://schemas.openxmlformats.org/officeDocument/2006/relationships/hyperlink" Target="mailto:1102230@uab.cat" TargetMode="External"/><Relationship Id="rId14" Type="http://schemas.openxmlformats.org/officeDocument/2006/relationships/hyperlink" Target="mailto:1102230@uab.cat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7"/>
  <dimension ref="A1:G29"/>
  <sheetViews>
    <sheetView workbookViewId="0">
      <selection activeCell="C18" sqref="C18"/>
    </sheetView>
  </sheetViews>
  <sheetFormatPr baseColWidth="10" defaultRowHeight="15"/>
  <cols>
    <col min="1" max="1" width="5" bestFit="1" customWidth="1"/>
    <col min="2" max="2" width="16.42578125" bestFit="1" customWidth="1"/>
    <col min="3" max="3" width="27.5703125" bestFit="1" customWidth="1"/>
    <col min="4" max="4" width="28.42578125" bestFit="1" customWidth="1"/>
    <col min="5" max="5" width="27.5703125" bestFit="1" customWidth="1"/>
    <col min="6" max="6" width="30" bestFit="1" customWidth="1"/>
    <col min="7" max="7" width="13.42578125" bestFit="1" customWidth="1"/>
  </cols>
  <sheetData>
    <row r="1" spans="1:7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6</v>
      </c>
      <c r="G1" t="s">
        <v>7</v>
      </c>
    </row>
    <row r="2" spans="1:7">
      <c r="A2">
        <v>1</v>
      </c>
      <c r="B2" t="s">
        <v>8</v>
      </c>
      <c r="C2" t="s">
        <v>9</v>
      </c>
      <c r="D2" t="s">
        <v>10</v>
      </c>
      <c r="E2" t="s">
        <v>11</v>
      </c>
      <c r="F2" t="s">
        <v>12</v>
      </c>
      <c r="G2" t="s">
        <v>13</v>
      </c>
    </row>
    <row r="3" spans="1:7">
      <c r="A3">
        <v>2</v>
      </c>
      <c r="B3" t="s">
        <v>14</v>
      </c>
      <c r="C3" t="s">
        <v>15</v>
      </c>
      <c r="D3" t="s">
        <v>10</v>
      </c>
      <c r="E3" t="s">
        <v>15</v>
      </c>
      <c r="F3" t="s">
        <v>16</v>
      </c>
      <c r="G3" t="s">
        <v>13</v>
      </c>
    </row>
    <row r="4" spans="1:7">
      <c r="A4">
        <v>3</v>
      </c>
      <c r="B4" t="s">
        <v>17</v>
      </c>
      <c r="C4" t="s">
        <v>18</v>
      </c>
      <c r="D4" t="s">
        <v>10</v>
      </c>
      <c r="E4" t="s">
        <v>19</v>
      </c>
      <c r="F4" t="s">
        <v>20</v>
      </c>
      <c r="G4" t="s">
        <v>13</v>
      </c>
    </row>
    <row r="5" spans="1:7">
      <c r="A5">
        <v>4</v>
      </c>
      <c r="B5" t="s">
        <v>21</v>
      </c>
      <c r="C5" t="s">
        <v>22</v>
      </c>
      <c r="D5" t="s">
        <v>10</v>
      </c>
      <c r="E5" t="s">
        <v>22</v>
      </c>
      <c r="F5" t="s">
        <v>23</v>
      </c>
      <c r="G5" t="s">
        <v>13</v>
      </c>
    </row>
    <row r="6" spans="1:7">
      <c r="A6">
        <v>5</v>
      </c>
      <c r="B6" t="s">
        <v>24</v>
      </c>
      <c r="C6" t="s">
        <v>25</v>
      </c>
      <c r="D6" t="s">
        <v>10</v>
      </c>
      <c r="E6" t="s">
        <v>26</v>
      </c>
      <c r="F6" t="s">
        <v>27</v>
      </c>
      <c r="G6" t="s">
        <v>13</v>
      </c>
    </row>
    <row r="7" spans="1:7">
      <c r="A7">
        <v>6</v>
      </c>
      <c r="B7" t="s">
        <v>28</v>
      </c>
      <c r="C7" t="s">
        <v>29</v>
      </c>
      <c r="D7" t="s">
        <v>10</v>
      </c>
      <c r="E7" t="s">
        <v>29</v>
      </c>
      <c r="F7" t="s">
        <v>28</v>
      </c>
      <c r="G7" t="s">
        <v>13</v>
      </c>
    </row>
    <row r="8" spans="1:7">
      <c r="A8">
        <v>7</v>
      </c>
      <c r="B8" t="s">
        <v>30</v>
      </c>
      <c r="C8" t="s">
        <v>31</v>
      </c>
      <c r="D8" t="s">
        <v>10</v>
      </c>
      <c r="E8" t="s">
        <v>31</v>
      </c>
      <c r="F8" t="s">
        <v>30</v>
      </c>
      <c r="G8" t="s">
        <v>13</v>
      </c>
    </row>
    <row r="9" spans="1:7">
      <c r="A9">
        <v>9</v>
      </c>
      <c r="B9" t="s">
        <v>32</v>
      </c>
      <c r="C9" t="s">
        <v>33</v>
      </c>
      <c r="D9" t="s">
        <v>34</v>
      </c>
      <c r="E9" t="s">
        <v>35</v>
      </c>
      <c r="F9" t="s">
        <v>36</v>
      </c>
      <c r="G9" t="s">
        <v>37</v>
      </c>
    </row>
    <row r="10" spans="1:7">
      <c r="A10">
        <v>10</v>
      </c>
      <c r="B10" t="s">
        <v>38</v>
      </c>
      <c r="C10" t="s">
        <v>39</v>
      </c>
      <c r="D10" t="s">
        <v>10</v>
      </c>
      <c r="E10" t="s">
        <v>40</v>
      </c>
      <c r="F10" t="s">
        <v>41</v>
      </c>
      <c r="G10" t="s">
        <v>37</v>
      </c>
    </row>
    <row r="11" spans="1:7">
      <c r="A11">
        <v>11</v>
      </c>
      <c r="B11" t="s">
        <v>38</v>
      </c>
      <c r="C11" t="s">
        <v>39</v>
      </c>
      <c r="D11" t="s">
        <v>10</v>
      </c>
      <c r="E11" t="s">
        <v>40</v>
      </c>
      <c r="F11" t="s">
        <v>42</v>
      </c>
      <c r="G11" t="s">
        <v>13</v>
      </c>
    </row>
    <row r="12" spans="1:7">
      <c r="A12">
        <v>12</v>
      </c>
      <c r="B12" t="s">
        <v>43</v>
      </c>
      <c r="C12" t="s">
        <v>44</v>
      </c>
      <c r="D12" t="s">
        <v>10</v>
      </c>
      <c r="E12" t="s">
        <v>44</v>
      </c>
      <c r="F12" t="s">
        <v>45</v>
      </c>
      <c r="G12" t="s">
        <v>13</v>
      </c>
    </row>
    <row r="13" spans="1:7">
      <c r="A13">
        <v>13</v>
      </c>
      <c r="B13" t="s">
        <v>46</v>
      </c>
      <c r="C13" t="s">
        <v>47</v>
      </c>
      <c r="D13" t="s">
        <v>34</v>
      </c>
      <c r="E13" t="s">
        <v>47</v>
      </c>
      <c r="F13" t="s">
        <v>46</v>
      </c>
      <c r="G13" t="s">
        <v>37</v>
      </c>
    </row>
    <row r="14" spans="1:7">
      <c r="A14">
        <v>14</v>
      </c>
      <c r="B14" t="s">
        <v>48</v>
      </c>
      <c r="C14" t="s">
        <v>49</v>
      </c>
      <c r="D14" t="s">
        <v>34</v>
      </c>
      <c r="E14" t="s">
        <v>50</v>
      </c>
      <c r="F14" t="s">
        <v>51</v>
      </c>
      <c r="G14" t="s">
        <v>37</v>
      </c>
    </row>
    <row r="15" spans="1:7">
      <c r="A15">
        <v>15</v>
      </c>
      <c r="B15" t="s">
        <v>52</v>
      </c>
      <c r="C15" t="s">
        <v>53</v>
      </c>
      <c r="D15" t="s">
        <v>34</v>
      </c>
      <c r="E15" t="s">
        <v>53</v>
      </c>
      <c r="F15" t="s">
        <v>54</v>
      </c>
      <c r="G15" t="s">
        <v>13</v>
      </c>
    </row>
    <row r="16" spans="1:7">
      <c r="A16">
        <v>16</v>
      </c>
      <c r="B16" t="s">
        <v>55</v>
      </c>
      <c r="C16" t="s">
        <v>56</v>
      </c>
      <c r="D16" t="s">
        <v>34</v>
      </c>
      <c r="E16" t="s">
        <v>57</v>
      </c>
      <c r="F16" t="s">
        <v>58</v>
      </c>
      <c r="G16" t="s">
        <v>13</v>
      </c>
    </row>
    <row r="17" spans="1:7">
      <c r="A17">
        <v>18</v>
      </c>
      <c r="B17" t="s">
        <v>59</v>
      </c>
      <c r="C17" t="s">
        <v>60</v>
      </c>
      <c r="D17" t="s">
        <v>10</v>
      </c>
      <c r="E17" t="s">
        <v>60</v>
      </c>
      <c r="F17" t="s">
        <v>59</v>
      </c>
      <c r="G17" t="s">
        <v>13</v>
      </c>
    </row>
    <row r="18" spans="1:7">
      <c r="A18">
        <v>20</v>
      </c>
      <c r="B18" t="s">
        <v>61</v>
      </c>
      <c r="C18" t="s">
        <v>62</v>
      </c>
      <c r="D18" t="s">
        <v>10</v>
      </c>
      <c r="E18" t="s">
        <v>63</v>
      </c>
      <c r="F18" t="s">
        <v>61</v>
      </c>
      <c r="G18" t="s">
        <v>13</v>
      </c>
    </row>
    <row r="19" spans="1:7">
      <c r="A19">
        <v>21</v>
      </c>
      <c r="B19" t="s">
        <v>64</v>
      </c>
      <c r="C19" t="s">
        <v>65</v>
      </c>
      <c r="D19" t="s">
        <v>10</v>
      </c>
      <c r="E19" t="s">
        <v>66</v>
      </c>
      <c r="F19" t="s">
        <v>67</v>
      </c>
      <c r="G19" t="s">
        <v>13</v>
      </c>
    </row>
    <row r="20" spans="1:7">
      <c r="A20">
        <v>22</v>
      </c>
      <c r="B20" t="s">
        <v>68</v>
      </c>
      <c r="C20" t="s">
        <v>69</v>
      </c>
      <c r="D20" t="s">
        <v>10</v>
      </c>
      <c r="E20" t="s">
        <v>70</v>
      </c>
      <c r="F20" t="s">
        <v>71</v>
      </c>
      <c r="G20" t="s">
        <v>13</v>
      </c>
    </row>
    <row r="21" spans="1:7">
      <c r="A21">
        <v>23</v>
      </c>
      <c r="B21" t="s">
        <v>72</v>
      </c>
      <c r="C21" t="s">
        <v>73</v>
      </c>
      <c r="D21" t="s">
        <v>10</v>
      </c>
      <c r="E21" t="s">
        <v>74</v>
      </c>
      <c r="F21" t="s">
        <v>75</v>
      </c>
      <c r="G21" t="s">
        <v>13</v>
      </c>
    </row>
    <row r="22" spans="1:7">
      <c r="A22">
        <v>24</v>
      </c>
      <c r="B22" t="s">
        <v>76</v>
      </c>
      <c r="C22" t="s">
        <v>77</v>
      </c>
      <c r="D22" t="s">
        <v>10</v>
      </c>
      <c r="E22" t="s">
        <v>77</v>
      </c>
      <c r="F22" t="s">
        <v>76</v>
      </c>
      <c r="G22" t="s">
        <v>13</v>
      </c>
    </row>
    <row r="23" spans="1:7">
      <c r="A23">
        <v>25</v>
      </c>
      <c r="B23" t="s">
        <v>78</v>
      </c>
      <c r="C23" t="s">
        <v>79</v>
      </c>
      <c r="D23" t="s">
        <v>10</v>
      </c>
      <c r="E23" t="s">
        <v>79</v>
      </c>
      <c r="F23" t="s">
        <v>78</v>
      </c>
      <c r="G23" t="s">
        <v>37</v>
      </c>
    </row>
    <row r="24" spans="1:7">
      <c r="A24">
        <v>27</v>
      </c>
      <c r="B24" t="s">
        <v>80</v>
      </c>
      <c r="C24" t="s">
        <v>81</v>
      </c>
      <c r="D24" t="s">
        <v>10</v>
      </c>
      <c r="E24" t="s">
        <v>82</v>
      </c>
      <c r="F24" t="s">
        <v>80</v>
      </c>
      <c r="G24" t="s">
        <v>13</v>
      </c>
    </row>
    <row r="25" spans="1:7">
      <c r="A25">
        <v>28</v>
      </c>
      <c r="B25" t="s">
        <v>83</v>
      </c>
      <c r="C25" t="s">
        <v>84</v>
      </c>
      <c r="D25" t="s">
        <v>10</v>
      </c>
      <c r="E25" t="s">
        <v>85</v>
      </c>
      <c r="F25" t="s">
        <v>86</v>
      </c>
      <c r="G25" t="s">
        <v>13</v>
      </c>
    </row>
    <row r="26" spans="1:7">
      <c r="A26">
        <v>29</v>
      </c>
      <c r="B26" t="s">
        <v>87</v>
      </c>
      <c r="C26" t="s">
        <v>88</v>
      </c>
      <c r="D26" t="s">
        <v>10</v>
      </c>
      <c r="E26" t="s">
        <v>88</v>
      </c>
      <c r="F26" t="s">
        <v>89</v>
      </c>
      <c r="G26" t="s">
        <v>13</v>
      </c>
    </row>
    <row r="27" spans="1:7">
      <c r="A27">
        <v>30</v>
      </c>
      <c r="B27" t="s">
        <v>90</v>
      </c>
      <c r="C27" t="s">
        <v>91</v>
      </c>
      <c r="D27" t="s">
        <v>10</v>
      </c>
      <c r="E27" t="s">
        <v>91</v>
      </c>
      <c r="F27" t="s">
        <v>92</v>
      </c>
      <c r="G27" t="s">
        <v>13</v>
      </c>
    </row>
    <row r="28" spans="1:7">
      <c r="A28">
        <v>31</v>
      </c>
      <c r="B28" t="s">
        <v>93</v>
      </c>
      <c r="C28" t="s">
        <v>94</v>
      </c>
      <c r="D28" t="s">
        <v>10</v>
      </c>
      <c r="E28" t="s">
        <v>95</v>
      </c>
      <c r="F28" t="s">
        <v>96</v>
      </c>
      <c r="G28" t="s">
        <v>37</v>
      </c>
    </row>
    <row r="29" spans="1:7">
      <c r="A29">
        <v>33</v>
      </c>
      <c r="B29" t="s">
        <v>97</v>
      </c>
      <c r="C29" t="s">
        <v>98</v>
      </c>
      <c r="D29" t="s">
        <v>10</v>
      </c>
      <c r="E29" t="s">
        <v>98</v>
      </c>
      <c r="F29" t="s">
        <v>99</v>
      </c>
      <c r="G29" t="s">
        <v>13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4"/>
  <dimension ref="A1:F56"/>
  <sheetViews>
    <sheetView workbookViewId="0">
      <selection activeCell="B1" sqref="B1"/>
    </sheetView>
  </sheetViews>
  <sheetFormatPr baseColWidth="10" defaultRowHeight="15"/>
  <cols>
    <col min="1" max="1" width="4.85546875" bestFit="1" customWidth="1"/>
    <col min="2" max="2" width="16" bestFit="1" customWidth="1"/>
    <col min="3" max="3" width="28.7109375" bestFit="1" customWidth="1"/>
    <col min="4" max="4" width="35.140625" customWidth="1"/>
    <col min="5" max="5" width="30" bestFit="1" customWidth="1"/>
    <col min="6" max="6" width="9.42578125" bestFit="1" customWidth="1"/>
  </cols>
  <sheetData>
    <row r="1" spans="1:6">
      <c r="A1" s="53" t="s">
        <v>1</v>
      </c>
      <c r="B1" s="53" t="s">
        <v>2</v>
      </c>
      <c r="C1" s="53" t="s">
        <v>3</v>
      </c>
      <c r="D1" s="53" t="s">
        <v>100</v>
      </c>
      <c r="E1" s="53" t="s">
        <v>101</v>
      </c>
      <c r="F1" s="54" t="s">
        <v>102</v>
      </c>
    </row>
    <row r="2" spans="1:6">
      <c r="A2" s="55">
        <v>49</v>
      </c>
      <c r="B2" s="55" t="s">
        <v>103</v>
      </c>
      <c r="C2" s="55" t="s">
        <v>104</v>
      </c>
      <c r="D2" s="55" t="s">
        <v>105</v>
      </c>
      <c r="E2" s="55" t="s">
        <v>106</v>
      </c>
      <c r="F2" s="55" t="s">
        <v>107</v>
      </c>
    </row>
    <row r="3" spans="1:6">
      <c r="A3" s="55">
        <v>63</v>
      </c>
      <c r="B3" s="55" t="s">
        <v>108</v>
      </c>
      <c r="C3" s="55" t="s">
        <v>109</v>
      </c>
      <c r="D3" s="55" t="s">
        <v>110</v>
      </c>
      <c r="E3" s="55" t="s">
        <v>106</v>
      </c>
      <c r="F3" s="55" t="s">
        <v>107</v>
      </c>
    </row>
    <row r="4" spans="1:6">
      <c r="A4" s="55">
        <v>68</v>
      </c>
      <c r="B4" s="55" t="s">
        <v>111</v>
      </c>
      <c r="C4" s="55" t="s">
        <v>112</v>
      </c>
      <c r="D4" s="55" t="s">
        <v>113</v>
      </c>
      <c r="E4" s="55" t="s">
        <v>106</v>
      </c>
      <c r="F4" s="55" t="s">
        <v>107</v>
      </c>
    </row>
    <row r="5" spans="1:6">
      <c r="A5" s="55">
        <v>71</v>
      </c>
      <c r="B5" s="55" t="s">
        <v>114</v>
      </c>
      <c r="C5" s="55" t="s">
        <v>115</v>
      </c>
      <c r="D5" s="55" t="s">
        <v>116</v>
      </c>
      <c r="E5" s="55" t="s">
        <v>106</v>
      </c>
      <c r="F5" s="55" t="s">
        <v>107</v>
      </c>
    </row>
    <row r="6" spans="1:6">
      <c r="A6" s="55">
        <v>75</v>
      </c>
      <c r="B6" s="55" t="s">
        <v>117</v>
      </c>
      <c r="C6" s="55" t="s">
        <v>118</v>
      </c>
      <c r="D6" s="55" t="s">
        <v>119</v>
      </c>
      <c r="E6" s="55" t="s">
        <v>120</v>
      </c>
      <c r="F6" s="55" t="s">
        <v>107</v>
      </c>
    </row>
    <row r="7" spans="1:6">
      <c r="A7" s="55">
        <v>44</v>
      </c>
      <c r="B7" s="55" t="s">
        <v>121</v>
      </c>
      <c r="C7" s="55" t="s">
        <v>122</v>
      </c>
      <c r="D7" s="55" t="s">
        <v>123</v>
      </c>
      <c r="E7" s="55" t="s">
        <v>120</v>
      </c>
      <c r="F7" s="55" t="s">
        <v>107</v>
      </c>
    </row>
    <row r="8" spans="1:6">
      <c r="A8" s="55">
        <v>79</v>
      </c>
      <c r="B8" s="55" t="s">
        <v>124</v>
      </c>
      <c r="C8" s="55" t="s">
        <v>125</v>
      </c>
      <c r="D8" s="55" t="s">
        <v>126</v>
      </c>
      <c r="E8" s="55" t="s">
        <v>120</v>
      </c>
      <c r="F8" s="55" t="s">
        <v>107</v>
      </c>
    </row>
    <row r="9" spans="1:6">
      <c r="A9" s="55">
        <v>46</v>
      </c>
      <c r="B9" s="55" t="s">
        <v>127</v>
      </c>
      <c r="C9" s="55" t="s">
        <v>128</v>
      </c>
      <c r="D9" s="55" t="s">
        <v>129</v>
      </c>
      <c r="E9" s="55" t="s">
        <v>120</v>
      </c>
      <c r="F9" s="55" t="s">
        <v>107</v>
      </c>
    </row>
    <row r="10" spans="1:6">
      <c r="A10" s="55">
        <v>45</v>
      </c>
      <c r="B10" s="55" t="s">
        <v>130</v>
      </c>
      <c r="C10" s="55" t="s">
        <v>131</v>
      </c>
      <c r="D10" s="55" t="s">
        <v>132</v>
      </c>
      <c r="E10" s="55" t="s">
        <v>120</v>
      </c>
      <c r="F10" s="55" t="s">
        <v>107</v>
      </c>
    </row>
    <row r="11" spans="1:6">
      <c r="A11" s="55">
        <v>82</v>
      </c>
      <c r="B11" s="55" t="s">
        <v>133</v>
      </c>
      <c r="C11" s="55" t="s">
        <v>134</v>
      </c>
      <c r="D11" s="55" t="s">
        <v>135</v>
      </c>
      <c r="E11" s="55" t="s">
        <v>120</v>
      </c>
      <c r="F11" s="55" t="s">
        <v>107</v>
      </c>
    </row>
    <row r="12" spans="1:6">
      <c r="A12" s="55">
        <v>88</v>
      </c>
      <c r="B12" s="55" t="s">
        <v>136</v>
      </c>
      <c r="C12" s="55" t="s">
        <v>137</v>
      </c>
      <c r="D12" s="55" t="s">
        <v>138</v>
      </c>
      <c r="E12" s="55" t="s">
        <v>120</v>
      </c>
      <c r="F12" s="55" t="s">
        <v>107</v>
      </c>
    </row>
    <row r="13" spans="1:6">
      <c r="A13" s="55">
        <v>47</v>
      </c>
      <c r="B13" s="55" t="s">
        <v>139</v>
      </c>
      <c r="C13" s="55" t="s">
        <v>140</v>
      </c>
      <c r="D13" s="55" t="s">
        <v>141</v>
      </c>
      <c r="E13" s="55" t="s">
        <v>120</v>
      </c>
      <c r="F13" s="55" t="s">
        <v>107</v>
      </c>
    </row>
    <row r="14" spans="1:6">
      <c r="A14" s="55">
        <v>85</v>
      </c>
      <c r="B14" s="55" t="s">
        <v>142</v>
      </c>
      <c r="C14" s="55" t="s">
        <v>143</v>
      </c>
      <c r="D14" s="55" t="s">
        <v>144</v>
      </c>
      <c r="E14" s="55" t="s">
        <v>120</v>
      </c>
      <c r="F14" s="55" t="s">
        <v>107</v>
      </c>
    </row>
    <row r="15" spans="1:6">
      <c r="A15" s="55">
        <v>57</v>
      </c>
      <c r="B15" s="55" t="s">
        <v>145</v>
      </c>
      <c r="C15" s="55" t="s">
        <v>146</v>
      </c>
      <c r="D15" s="55" t="s">
        <v>147</v>
      </c>
      <c r="E15" s="55" t="s">
        <v>148</v>
      </c>
      <c r="F15" s="55" t="s">
        <v>107</v>
      </c>
    </row>
    <row r="16" spans="1:6">
      <c r="A16" s="55">
        <v>69</v>
      </c>
      <c r="B16" s="55" t="s">
        <v>149</v>
      </c>
      <c r="C16" s="55" t="s">
        <v>150</v>
      </c>
      <c r="D16" s="55" t="s">
        <v>151</v>
      </c>
      <c r="E16" s="55" t="s">
        <v>148</v>
      </c>
      <c r="F16" s="55" t="s">
        <v>107</v>
      </c>
    </row>
    <row r="17" spans="1:6">
      <c r="A17" s="55">
        <v>87</v>
      </c>
      <c r="B17" s="55" t="s">
        <v>152</v>
      </c>
      <c r="C17" s="55" t="s">
        <v>153</v>
      </c>
      <c r="D17" s="55" t="s">
        <v>154</v>
      </c>
      <c r="E17" s="55" t="s">
        <v>148</v>
      </c>
      <c r="F17" s="55" t="s">
        <v>107</v>
      </c>
    </row>
    <row r="18" spans="1:6">
      <c r="A18" s="55">
        <v>74</v>
      </c>
      <c r="B18" s="55" t="s">
        <v>155</v>
      </c>
      <c r="C18" s="55" t="s">
        <v>156</v>
      </c>
      <c r="D18" s="55" t="s">
        <v>157</v>
      </c>
      <c r="E18" s="55" t="s">
        <v>148</v>
      </c>
      <c r="F18" s="55" t="s">
        <v>107</v>
      </c>
    </row>
    <row r="19" spans="1:6">
      <c r="A19" s="55">
        <v>64</v>
      </c>
      <c r="B19" s="55" t="s">
        <v>158</v>
      </c>
      <c r="C19" s="55" t="s">
        <v>159</v>
      </c>
      <c r="D19" s="55" t="s">
        <v>160</v>
      </c>
      <c r="E19" s="55" t="s">
        <v>148</v>
      </c>
      <c r="F19" s="55" t="s">
        <v>107</v>
      </c>
    </row>
    <row r="20" spans="1:6">
      <c r="A20" s="55">
        <v>30</v>
      </c>
      <c r="B20" s="55" t="s">
        <v>161</v>
      </c>
      <c r="C20" s="55" t="s">
        <v>162</v>
      </c>
      <c r="D20" s="55" t="s">
        <v>163</v>
      </c>
      <c r="E20" s="55" t="s">
        <v>148</v>
      </c>
      <c r="F20" s="55" t="s">
        <v>107</v>
      </c>
    </row>
    <row r="21" spans="1:6">
      <c r="A21" s="55">
        <v>97</v>
      </c>
      <c r="B21" s="55" t="s">
        <v>164</v>
      </c>
      <c r="C21" s="55" t="s">
        <v>165</v>
      </c>
      <c r="D21" s="55" t="s">
        <v>166</v>
      </c>
      <c r="E21" s="55" t="s">
        <v>148</v>
      </c>
      <c r="F21" s="55" t="s">
        <v>107</v>
      </c>
    </row>
    <row r="22" spans="1:6">
      <c r="A22" s="55">
        <v>61</v>
      </c>
      <c r="B22" s="55" t="s">
        <v>167</v>
      </c>
      <c r="C22" s="55" t="s">
        <v>168</v>
      </c>
      <c r="D22" s="55" t="s">
        <v>169</v>
      </c>
      <c r="E22" s="55" t="s">
        <v>148</v>
      </c>
      <c r="F22" s="55" t="s">
        <v>107</v>
      </c>
    </row>
    <row r="23" spans="1:6">
      <c r="A23" s="55">
        <v>93</v>
      </c>
      <c r="B23" s="55" t="s">
        <v>170</v>
      </c>
      <c r="C23" s="55" t="s">
        <v>171</v>
      </c>
      <c r="D23" s="55" t="s">
        <v>172</v>
      </c>
      <c r="E23" s="55" t="s">
        <v>148</v>
      </c>
      <c r="F23" s="55" t="s">
        <v>107</v>
      </c>
    </row>
    <row r="24" spans="1:6">
      <c r="A24" s="55">
        <v>53</v>
      </c>
      <c r="B24" s="55" t="s">
        <v>173</v>
      </c>
      <c r="C24" s="55" t="s">
        <v>174</v>
      </c>
      <c r="D24" s="55" t="s">
        <v>175</v>
      </c>
      <c r="E24" s="55" t="s">
        <v>148</v>
      </c>
      <c r="F24" s="55" t="s">
        <v>107</v>
      </c>
    </row>
    <row r="25" spans="1:6">
      <c r="A25" s="55">
        <v>98</v>
      </c>
      <c r="B25" s="55" t="s">
        <v>176</v>
      </c>
      <c r="C25" s="55" t="s">
        <v>177</v>
      </c>
      <c r="D25" s="55" t="s">
        <v>178</v>
      </c>
      <c r="E25" s="55" t="s">
        <v>148</v>
      </c>
      <c r="F25" s="55" t="s">
        <v>107</v>
      </c>
    </row>
    <row r="26" spans="1:6">
      <c r="A26" s="55">
        <v>78</v>
      </c>
      <c r="B26" s="55" t="s">
        <v>179</v>
      </c>
      <c r="C26" s="55" t="s">
        <v>180</v>
      </c>
      <c r="D26" s="55" t="s">
        <v>181</v>
      </c>
      <c r="E26" s="55" t="s">
        <v>148</v>
      </c>
      <c r="F26" s="55" t="s">
        <v>107</v>
      </c>
    </row>
    <row r="27" spans="1:6">
      <c r="A27" s="55">
        <v>28</v>
      </c>
      <c r="B27" s="55" t="s">
        <v>182</v>
      </c>
      <c r="C27" s="55" t="s">
        <v>183</v>
      </c>
      <c r="D27" s="55" t="s">
        <v>184</v>
      </c>
      <c r="E27" s="55" t="s">
        <v>148</v>
      </c>
      <c r="F27" s="55" t="s">
        <v>107</v>
      </c>
    </row>
    <row r="28" spans="1:6">
      <c r="A28" s="55">
        <v>95</v>
      </c>
      <c r="B28" s="55" t="s">
        <v>185</v>
      </c>
      <c r="C28" s="55" t="s">
        <v>186</v>
      </c>
      <c r="D28" s="55" t="s">
        <v>187</v>
      </c>
      <c r="E28" s="55" t="s">
        <v>188</v>
      </c>
      <c r="F28" s="55" t="s">
        <v>107</v>
      </c>
    </row>
    <row r="29" spans="1:6">
      <c r="A29" s="55">
        <v>86</v>
      </c>
      <c r="B29" s="55" t="s">
        <v>189</v>
      </c>
      <c r="C29" s="55" t="s">
        <v>190</v>
      </c>
      <c r="D29" s="55" t="s">
        <v>191</v>
      </c>
      <c r="E29" s="55" t="s">
        <v>188</v>
      </c>
      <c r="F29" s="55" t="s">
        <v>107</v>
      </c>
    </row>
    <row r="30" spans="1:6">
      <c r="A30" s="55">
        <v>43</v>
      </c>
      <c r="B30" s="55" t="s">
        <v>192</v>
      </c>
      <c r="C30" s="55" t="s">
        <v>193</v>
      </c>
      <c r="D30" s="55" t="s">
        <v>194</v>
      </c>
      <c r="E30" s="55" t="s">
        <v>188</v>
      </c>
      <c r="F30" s="55" t="s">
        <v>107</v>
      </c>
    </row>
    <row r="31" spans="1:6">
      <c r="A31" s="55">
        <v>38</v>
      </c>
      <c r="B31" s="55" t="s">
        <v>28</v>
      </c>
      <c r="C31" s="55" t="s">
        <v>29</v>
      </c>
      <c r="D31" s="55" t="s">
        <v>195</v>
      </c>
      <c r="E31" s="55" t="s">
        <v>188</v>
      </c>
      <c r="F31" s="55" t="s">
        <v>107</v>
      </c>
    </row>
    <row r="32" spans="1:6">
      <c r="A32" s="55">
        <v>73</v>
      </c>
      <c r="B32" s="55" t="s">
        <v>196</v>
      </c>
      <c r="C32" s="55" t="s">
        <v>197</v>
      </c>
      <c r="D32" s="55" t="s">
        <v>198</v>
      </c>
      <c r="E32" s="55" t="s">
        <v>188</v>
      </c>
      <c r="F32" s="55" t="s">
        <v>107</v>
      </c>
    </row>
    <row r="33" spans="1:6">
      <c r="A33" s="55">
        <v>58</v>
      </c>
      <c r="B33" s="55" t="s">
        <v>199</v>
      </c>
      <c r="C33" s="55" t="s">
        <v>200</v>
      </c>
      <c r="D33" s="55" t="s">
        <v>201</v>
      </c>
      <c r="E33" s="55" t="s">
        <v>188</v>
      </c>
      <c r="F33" s="55" t="s">
        <v>107</v>
      </c>
    </row>
    <row r="34" spans="1:6">
      <c r="A34" s="55">
        <v>66</v>
      </c>
      <c r="B34" s="55" t="s">
        <v>202</v>
      </c>
      <c r="C34" s="55" t="s">
        <v>203</v>
      </c>
      <c r="D34" s="55" t="s">
        <v>204</v>
      </c>
      <c r="E34" s="55" t="s">
        <v>188</v>
      </c>
      <c r="F34" s="55" t="s">
        <v>107</v>
      </c>
    </row>
    <row r="35" spans="1:6">
      <c r="A35" s="55">
        <v>59</v>
      </c>
      <c r="B35" s="55" t="s">
        <v>205</v>
      </c>
      <c r="C35" s="55" t="s">
        <v>206</v>
      </c>
      <c r="D35" s="55" t="s">
        <v>207</v>
      </c>
      <c r="E35" s="55" t="s">
        <v>188</v>
      </c>
      <c r="F35" s="55" t="s">
        <v>107</v>
      </c>
    </row>
    <row r="36" spans="1:6">
      <c r="A36" s="55">
        <v>54</v>
      </c>
      <c r="B36" s="55" t="s">
        <v>208</v>
      </c>
      <c r="C36" s="55" t="s">
        <v>209</v>
      </c>
      <c r="D36" s="55" t="s">
        <v>210</v>
      </c>
      <c r="E36" s="55" t="s">
        <v>188</v>
      </c>
      <c r="F36" s="55" t="s">
        <v>107</v>
      </c>
    </row>
    <row r="37" spans="1:6">
      <c r="A37" s="55">
        <v>101</v>
      </c>
      <c r="B37" s="55" t="s">
        <v>211</v>
      </c>
      <c r="C37" s="55" t="s">
        <v>212</v>
      </c>
      <c r="D37" s="55" t="s">
        <v>213</v>
      </c>
      <c r="E37" s="55" t="s">
        <v>188</v>
      </c>
      <c r="F37" s="55" t="s">
        <v>107</v>
      </c>
    </row>
    <row r="38" spans="1:6">
      <c r="A38" s="55">
        <v>67</v>
      </c>
      <c r="B38" s="55" t="s">
        <v>214</v>
      </c>
      <c r="C38" s="55" t="s">
        <v>215</v>
      </c>
      <c r="D38" s="55" t="s">
        <v>216</v>
      </c>
      <c r="E38" s="55" t="s">
        <v>188</v>
      </c>
      <c r="F38" s="55" t="s">
        <v>107</v>
      </c>
    </row>
    <row r="39" spans="1:6">
      <c r="A39" s="55">
        <v>92</v>
      </c>
      <c r="B39" s="55" t="s">
        <v>217</v>
      </c>
      <c r="C39" s="55" t="s">
        <v>218</v>
      </c>
      <c r="D39" s="55" t="s">
        <v>219</v>
      </c>
      <c r="E39" s="55" t="s">
        <v>188</v>
      </c>
      <c r="F39" s="55" t="s">
        <v>107</v>
      </c>
    </row>
    <row r="40" spans="1:6">
      <c r="A40" s="55">
        <v>29</v>
      </c>
      <c r="B40" s="55" t="s">
        <v>220</v>
      </c>
      <c r="C40" s="55" t="s">
        <v>221</v>
      </c>
      <c r="D40" s="55" t="s">
        <v>222</v>
      </c>
      <c r="E40" s="55" t="s">
        <v>188</v>
      </c>
      <c r="F40" s="55" t="s">
        <v>107</v>
      </c>
    </row>
    <row r="41" spans="1:6">
      <c r="A41" s="55">
        <v>99</v>
      </c>
      <c r="B41" s="55" t="s">
        <v>223</v>
      </c>
      <c r="C41" s="55" t="s">
        <v>224</v>
      </c>
      <c r="D41" s="55" t="s">
        <v>225</v>
      </c>
      <c r="E41" s="55" t="s">
        <v>188</v>
      </c>
      <c r="F41" s="55" t="s">
        <v>107</v>
      </c>
    </row>
    <row r="42" spans="1:6">
      <c r="A42" s="55">
        <v>51</v>
      </c>
      <c r="B42" s="55" t="s">
        <v>226</v>
      </c>
      <c r="C42" s="55" t="s">
        <v>227</v>
      </c>
      <c r="D42" s="55" t="s">
        <v>227</v>
      </c>
      <c r="E42" s="55" t="s">
        <v>188</v>
      </c>
      <c r="F42" s="55" t="s">
        <v>107</v>
      </c>
    </row>
    <row r="43" spans="1:6">
      <c r="A43" s="55">
        <v>94</v>
      </c>
      <c r="B43" s="55" t="s">
        <v>228</v>
      </c>
      <c r="C43" s="55" t="s">
        <v>229</v>
      </c>
      <c r="D43" s="55" t="s">
        <v>230</v>
      </c>
      <c r="E43" s="55" t="s">
        <v>231</v>
      </c>
      <c r="F43" s="55" t="s">
        <v>107</v>
      </c>
    </row>
    <row r="44" spans="1:6">
      <c r="A44" s="55">
        <v>83</v>
      </c>
      <c r="B44" s="55" t="s">
        <v>232</v>
      </c>
      <c r="C44" s="55" t="s">
        <v>233</v>
      </c>
      <c r="D44" s="55" t="s">
        <v>234</v>
      </c>
      <c r="E44" s="55" t="s">
        <v>231</v>
      </c>
      <c r="F44" s="55" t="s">
        <v>107</v>
      </c>
    </row>
    <row r="45" spans="1:6">
      <c r="A45" s="55">
        <v>84</v>
      </c>
      <c r="B45" s="55" t="s">
        <v>235</v>
      </c>
      <c r="C45" s="55" t="s">
        <v>236</v>
      </c>
      <c r="D45" s="55" t="s">
        <v>237</v>
      </c>
      <c r="E45" s="55" t="s">
        <v>231</v>
      </c>
      <c r="F45" s="55" t="s">
        <v>107</v>
      </c>
    </row>
    <row r="46" spans="1:6">
      <c r="A46" s="55">
        <v>70</v>
      </c>
      <c r="B46" s="55" t="s">
        <v>238</v>
      </c>
      <c r="C46" s="55" t="s">
        <v>239</v>
      </c>
      <c r="D46" s="55" t="s">
        <v>240</v>
      </c>
      <c r="E46" s="55" t="s">
        <v>231</v>
      </c>
      <c r="F46" s="55" t="s">
        <v>107</v>
      </c>
    </row>
    <row r="47" spans="1:6">
      <c r="A47" s="55">
        <v>50</v>
      </c>
      <c r="B47" s="55" t="s">
        <v>241</v>
      </c>
      <c r="C47" s="55" t="s">
        <v>242</v>
      </c>
      <c r="D47" s="55" t="s">
        <v>243</v>
      </c>
      <c r="E47" s="55" t="s">
        <v>244</v>
      </c>
      <c r="F47" s="55" t="s">
        <v>107</v>
      </c>
    </row>
    <row r="48" spans="1:6">
      <c r="A48" s="55">
        <v>76</v>
      </c>
      <c r="B48" s="55" t="s">
        <v>245</v>
      </c>
      <c r="C48" s="55" t="s">
        <v>246</v>
      </c>
      <c r="D48" s="55" t="s">
        <v>247</v>
      </c>
      <c r="E48" s="55" t="s">
        <v>244</v>
      </c>
      <c r="F48" s="55" t="s">
        <v>107</v>
      </c>
    </row>
    <row r="49" spans="1:6">
      <c r="A49" s="55">
        <v>103</v>
      </c>
      <c r="B49" s="55" t="s">
        <v>248</v>
      </c>
      <c r="C49" s="55" t="s">
        <v>249</v>
      </c>
      <c r="D49" s="55" t="s">
        <v>250</v>
      </c>
      <c r="E49" s="55" t="s">
        <v>244</v>
      </c>
      <c r="F49" s="55" t="s">
        <v>107</v>
      </c>
    </row>
    <row r="50" spans="1:6">
      <c r="A50" s="55">
        <v>89</v>
      </c>
      <c r="B50" s="55" t="s">
        <v>251</v>
      </c>
      <c r="C50" s="55" t="s">
        <v>252</v>
      </c>
      <c r="D50" s="55" t="s">
        <v>253</v>
      </c>
      <c r="E50" s="55" t="s">
        <v>244</v>
      </c>
      <c r="F50" s="55" t="s">
        <v>107</v>
      </c>
    </row>
    <row r="51" spans="1:6">
      <c r="A51" s="55">
        <v>65</v>
      </c>
      <c r="B51" s="55" t="s">
        <v>254</v>
      </c>
      <c r="C51" s="55" t="s">
        <v>255</v>
      </c>
      <c r="D51" s="55" t="s">
        <v>256</v>
      </c>
      <c r="E51" s="55" t="s">
        <v>244</v>
      </c>
      <c r="F51" s="55" t="s">
        <v>107</v>
      </c>
    </row>
    <row r="52" spans="1:6">
      <c r="A52" s="55">
        <v>77</v>
      </c>
      <c r="B52" s="55" t="s">
        <v>257</v>
      </c>
      <c r="C52" s="55" t="s">
        <v>258</v>
      </c>
      <c r="D52" s="55" t="s">
        <v>259</v>
      </c>
      <c r="E52" s="55" t="s">
        <v>244</v>
      </c>
      <c r="F52" s="55" t="s">
        <v>107</v>
      </c>
    </row>
    <row r="53" spans="1:6">
      <c r="A53" s="55">
        <v>102</v>
      </c>
      <c r="B53" s="55" t="s">
        <v>260</v>
      </c>
      <c r="C53" s="55" t="s">
        <v>261</v>
      </c>
      <c r="D53" s="55" t="s">
        <v>262</v>
      </c>
      <c r="E53" s="55" t="s">
        <v>244</v>
      </c>
      <c r="F53" s="55" t="s">
        <v>107</v>
      </c>
    </row>
    <row r="54" spans="1:6">
      <c r="A54" s="55">
        <v>41</v>
      </c>
      <c r="B54" s="55" t="s">
        <v>8</v>
      </c>
      <c r="C54" s="55" t="s">
        <v>9</v>
      </c>
      <c r="D54" s="55" t="s">
        <v>263</v>
      </c>
      <c r="E54" s="55" t="s">
        <v>244</v>
      </c>
      <c r="F54" s="55" t="s">
        <v>107</v>
      </c>
    </row>
    <row r="55" spans="1:6">
      <c r="A55" s="55">
        <v>104</v>
      </c>
      <c r="B55" s="55" t="s">
        <v>264</v>
      </c>
      <c r="C55" s="55" t="s">
        <v>265</v>
      </c>
      <c r="D55" s="55" t="s">
        <v>266</v>
      </c>
      <c r="E55" s="55" t="s">
        <v>244</v>
      </c>
      <c r="F55" s="55" t="s">
        <v>107</v>
      </c>
    </row>
    <row r="56" spans="1:6">
      <c r="A56" s="55">
        <v>48</v>
      </c>
      <c r="B56" s="55" t="s">
        <v>267</v>
      </c>
      <c r="C56" s="55" t="s">
        <v>268</v>
      </c>
      <c r="D56" s="55" t="s">
        <v>269</v>
      </c>
      <c r="E56" s="55" t="s">
        <v>244</v>
      </c>
      <c r="F56" s="55" t="s">
        <v>107</v>
      </c>
    </row>
  </sheetData>
  <dataValidations count="1">
    <dataValidation type="list" allowBlank="1" showInputMessage="1" showErrorMessage="1" sqref="F2:F56" xr:uid="{00000000-0002-0000-0100-000000000000}">
      <formula1>"Delegat/a,Jugador/a"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5"/>
  <dimension ref="A1:I295"/>
  <sheetViews>
    <sheetView workbookViewId="0"/>
  </sheetViews>
  <sheetFormatPr baseColWidth="10" defaultRowHeight="15"/>
  <cols>
    <col min="1" max="1" width="4" bestFit="1" customWidth="1"/>
    <col min="2" max="2" width="16" bestFit="1" customWidth="1"/>
    <col min="3" max="3" width="38.28515625" bestFit="1" customWidth="1"/>
    <col min="4" max="4" width="25.42578125" bestFit="1" customWidth="1"/>
    <col min="5" max="5" width="35.28515625" bestFit="1" customWidth="1"/>
    <col min="6" max="7" width="34.28515625" bestFit="1" customWidth="1"/>
    <col min="8" max="8" width="43.7109375" bestFit="1" customWidth="1"/>
    <col min="9" max="9" width="9.42578125" bestFit="1" customWidth="1"/>
  </cols>
  <sheetData>
    <row r="1" spans="1:9">
      <c r="A1" s="53" t="s">
        <v>1</v>
      </c>
      <c r="B1" s="53" t="s">
        <v>2</v>
      </c>
      <c r="C1" s="53" t="s">
        <v>3</v>
      </c>
      <c r="D1" s="53" t="s">
        <v>4</v>
      </c>
      <c r="E1" s="53" t="s">
        <v>5</v>
      </c>
      <c r="F1" s="53" t="s">
        <v>6</v>
      </c>
      <c r="G1" s="53" t="s">
        <v>7</v>
      </c>
      <c r="H1" s="53" t="s">
        <v>270</v>
      </c>
      <c r="I1" s="32" t="s">
        <v>102</v>
      </c>
    </row>
    <row r="2" spans="1:9">
      <c r="A2">
        <v>34</v>
      </c>
      <c r="B2" t="s">
        <v>103</v>
      </c>
      <c r="C2" t="s">
        <v>104</v>
      </c>
      <c r="D2" t="s">
        <v>10</v>
      </c>
      <c r="E2" t="s">
        <v>104</v>
      </c>
      <c r="F2" t="s">
        <v>103</v>
      </c>
      <c r="G2" t="s">
        <v>106</v>
      </c>
      <c r="H2" t="s">
        <v>105</v>
      </c>
      <c r="I2" t="s">
        <v>107</v>
      </c>
    </row>
    <row r="3" spans="1:9">
      <c r="A3">
        <v>195</v>
      </c>
      <c r="B3" t="s">
        <v>271</v>
      </c>
      <c r="C3" t="s">
        <v>272</v>
      </c>
      <c r="D3" t="s">
        <v>10</v>
      </c>
      <c r="E3" t="s">
        <v>273</v>
      </c>
      <c r="F3" t="s">
        <v>274</v>
      </c>
      <c r="G3" t="s">
        <v>106</v>
      </c>
      <c r="H3" t="s">
        <v>275</v>
      </c>
      <c r="I3" t="s">
        <v>276</v>
      </c>
    </row>
    <row r="4" spans="1:9">
      <c r="A4">
        <v>135</v>
      </c>
      <c r="B4" t="s">
        <v>108</v>
      </c>
      <c r="C4" t="s">
        <v>109</v>
      </c>
      <c r="D4" t="s">
        <v>10</v>
      </c>
      <c r="E4" t="s">
        <v>109</v>
      </c>
      <c r="F4" t="s">
        <v>277</v>
      </c>
      <c r="G4" t="s">
        <v>106</v>
      </c>
      <c r="H4" t="s">
        <v>275</v>
      </c>
      <c r="I4" t="s">
        <v>107</v>
      </c>
    </row>
    <row r="5" spans="1:9">
      <c r="A5">
        <v>316</v>
      </c>
      <c r="B5" t="s">
        <v>278</v>
      </c>
      <c r="C5" t="s">
        <v>279</v>
      </c>
      <c r="D5" t="s">
        <v>10</v>
      </c>
      <c r="E5" t="s">
        <v>279</v>
      </c>
      <c r="F5" t="s">
        <v>280</v>
      </c>
      <c r="G5" t="s">
        <v>106</v>
      </c>
      <c r="H5" t="s">
        <v>275</v>
      </c>
      <c r="I5" t="s">
        <v>276</v>
      </c>
    </row>
    <row r="6" spans="1:9">
      <c r="A6">
        <v>86</v>
      </c>
      <c r="B6" t="s">
        <v>281</v>
      </c>
      <c r="C6" t="s">
        <v>282</v>
      </c>
      <c r="D6" t="s">
        <v>34</v>
      </c>
      <c r="E6" t="s">
        <v>282</v>
      </c>
      <c r="F6" t="s">
        <v>283</v>
      </c>
      <c r="G6" t="s">
        <v>106</v>
      </c>
      <c r="H6" t="s">
        <v>113</v>
      </c>
      <c r="I6" t="s">
        <v>276</v>
      </c>
    </row>
    <row r="7" spans="1:9">
      <c r="A7">
        <v>51</v>
      </c>
      <c r="B7" t="s">
        <v>284</v>
      </c>
      <c r="C7" t="s">
        <v>285</v>
      </c>
      <c r="D7" t="s">
        <v>34</v>
      </c>
      <c r="E7" t="s">
        <v>285</v>
      </c>
      <c r="F7" t="s">
        <v>286</v>
      </c>
      <c r="G7" t="s">
        <v>106</v>
      </c>
      <c r="H7" t="s">
        <v>113</v>
      </c>
      <c r="I7" t="s">
        <v>276</v>
      </c>
    </row>
    <row r="8" spans="1:9">
      <c r="A8">
        <v>203</v>
      </c>
      <c r="B8" t="s">
        <v>111</v>
      </c>
      <c r="C8" t="s">
        <v>112</v>
      </c>
      <c r="D8" t="s">
        <v>34</v>
      </c>
      <c r="E8" t="s">
        <v>112</v>
      </c>
      <c r="F8" t="s">
        <v>287</v>
      </c>
      <c r="G8" t="s">
        <v>106</v>
      </c>
      <c r="H8" t="s">
        <v>113</v>
      </c>
      <c r="I8" t="s">
        <v>107</v>
      </c>
    </row>
    <row r="9" spans="1:9">
      <c r="A9">
        <v>128</v>
      </c>
      <c r="B9" t="s">
        <v>288</v>
      </c>
      <c r="C9" t="s">
        <v>289</v>
      </c>
      <c r="D9" t="s">
        <v>10</v>
      </c>
      <c r="E9" t="s">
        <v>290</v>
      </c>
      <c r="F9" t="s">
        <v>291</v>
      </c>
      <c r="G9" t="s">
        <v>106</v>
      </c>
      <c r="H9" t="s">
        <v>116</v>
      </c>
      <c r="I9" t="s">
        <v>276</v>
      </c>
    </row>
    <row r="10" spans="1:9">
      <c r="A10">
        <v>93</v>
      </c>
      <c r="B10" t="s">
        <v>208</v>
      </c>
      <c r="C10" t="s">
        <v>209</v>
      </c>
      <c r="D10" t="s">
        <v>10</v>
      </c>
      <c r="E10" t="s">
        <v>209</v>
      </c>
      <c r="F10" t="s">
        <v>292</v>
      </c>
      <c r="G10" t="s">
        <v>106</v>
      </c>
      <c r="H10" t="s">
        <v>293</v>
      </c>
      <c r="I10" t="s">
        <v>107</v>
      </c>
    </row>
    <row r="11" spans="1:9">
      <c r="A11">
        <v>114</v>
      </c>
      <c r="B11" t="s">
        <v>114</v>
      </c>
      <c r="C11" t="s">
        <v>115</v>
      </c>
      <c r="D11" t="s">
        <v>10</v>
      </c>
      <c r="E11" t="s">
        <v>294</v>
      </c>
      <c r="F11" t="s">
        <v>295</v>
      </c>
      <c r="G11" t="s">
        <v>106</v>
      </c>
      <c r="H11" t="s">
        <v>296</v>
      </c>
      <c r="I11" t="s">
        <v>107</v>
      </c>
    </row>
    <row r="12" spans="1:9">
      <c r="A12">
        <v>286</v>
      </c>
      <c r="B12" t="s">
        <v>297</v>
      </c>
      <c r="C12" t="s">
        <v>298</v>
      </c>
      <c r="D12" t="s">
        <v>10</v>
      </c>
      <c r="E12" t="s">
        <v>299</v>
      </c>
      <c r="F12" t="s">
        <v>300</v>
      </c>
      <c r="G12" t="s">
        <v>120</v>
      </c>
      <c r="H12" t="s">
        <v>119</v>
      </c>
      <c r="I12" t="s">
        <v>276</v>
      </c>
    </row>
    <row r="13" spans="1:9">
      <c r="A13">
        <v>152</v>
      </c>
      <c r="B13" t="s">
        <v>301</v>
      </c>
      <c r="C13" t="s">
        <v>302</v>
      </c>
      <c r="D13" t="s">
        <v>10</v>
      </c>
      <c r="E13" t="s">
        <v>302</v>
      </c>
      <c r="F13" t="s">
        <v>303</v>
      </c>
      <c r="G13" t="s">
        <v>120</v>
      </c>
      <c r="H13" t="s">
        <v>119</v>
      </c>
      <c r="I13" t="s">
        <v>276</v>
      </c>
    </row>
    <row r="14" spans="1:9">
      <c r="A14">
        <v>188</v>
      </c>
      <c r="B14" t="s">
        <v>304</v>
      </c>
      <c r="C14" t="s">
        <v>305</v>
      </c>
      <c r="D14" t="s">
        <v>10</v>
      </c>
      <c r="E14" t="s">
        <v>306</v>
      </c>
      <c r="F14" t="s">
        <v>307</v>
      </c>
      <c r="G14" t="s">
        <v>120</v>
      </c>
      <c r="H14" t="s">
        <v>119</v>
      </c>
      <c r="I14" t="s">
        <v>276</v>
      </c>
    </row>
    <row r="15" spans="1:9">
      <c r="A15">
        <v>283</v>
      </c>
      <c r="B15" t="s">
        <v>308</v>
      </c>
      <c r="C15" t="s">
        <v>309</v>
      </c>
      <c r="D15" t="s">
        <v>10</v>
      </c>
      <c r="E15" t="s">
        <v>310</v>
      </c>
      <c r="F15" t="s">
        <v>311</v>
      </c>
      <c r="G15" t="s">
        <v>120</v>
      </c>
      <c r="H15" t="s">
        <v>119</v>
      </c>
      <c r="I15" t="s">
        <v>276</v>
      </c>
    </row>
    <row r="16" spans="1:9">
      <c r="A16">
        <v>176</v>
      </c>
      <c r="B16" t="s">
        <v>312</v>
      </c>
      <c r="C16" t="s">
        <v>313</v>
      </c>
      <c r="D16" t="s">
        <v>10</v>
      </c>
      <c r="E16" t="s">
        <v>314</v>
      </c>
      <c r="F16" t="s">
        <v>312</v>
      </c>
      <c r="G16" t="s">
        <v>120</v>
      </c>
      <c r="H16" t="s">
        <v>119</v>
      </c>
      <c r="I16" t="s">
        <v>276</v>
      </c>
    </row>
    <row r="17" spans="1:9">
      <c r="A17">
        <v>289</v>
      </c>
      <c r="B17" t="s">
        <v>117</v>
      </c>
      <c r="C17" t="s">
        <v>118</v>
      </c>
      <c r="D17" t="s">
        <v>10</v>
      </c>
      <c r="E17" t="s">
        <v>315</v>
      </c>
      <c r="F17" t="s">
        <v>316</v>
      </c>
      <c r="G17" t="s">
        <v>120</v>
      </c>
      <c r="H17" t="s">
        <v>119</v>
      </c>
      <c r="I17" t="s">
        <v>107</v>
      </c>
    </row>
    <row r="18" spans="1:9">
      <c r="A18">
        <v>179</v>
      </c>
      <c r="B18" t="s">
        <v>317</v>
      </c>
      <c r="C18" t="s">
        <v>318</v>
      </c>
      <c r="D18" t="s">
        <v>10</v>
      </c>
      <c r="E18" t="s">
        <v>318</v>
      </c>
      <c r="F18" t="s">
        <v>317</v>
      </c>
      <c r="G18" t="s">
        <v>120</v>
      </c>
      <c r="H18" t="s">
        <v>119</v>
      </c>
      <c r="I18" t="s">
        <v>276</v>
      </c>
    </row>
    <row r="19" spans="1:9">
      <c r="A19">
        <v>284</v>
      </c>
      <c r="B19" t="s">
        <v>319</v>
      </c>
      <c r="C19" t="s">
        <v>320</v>
      </c>
      <c r="D19" t="s">
        <v>10</v>
      </c>
      <c r="E19" t="s">
        <v>320</v>
      </c>
      <c r="F19" t="s">
        <v>321</v>
      </c>
      <c r="G19" t="s">
        <v>120</v>
      </c>
      <c r="H19" t="s">
        <v>119</v>
      </c>
      <c r="I19" t="s">
        <v>276</v>
      </c>
    </row>
    <row r="20" spans="1:9">
      <c r="A20">
        <v>146</v>
      </c>
      <c r="B20" t="s">
        <v>322</v>
      </c>
      <c r="C20" t="s">
        <v>323</v>
      </c>
      <c r="D20" t="s">
        <v>10</v>
      </c>
      <c r="E20" t="s">
        <v>323</v>
      </c>
      <c r="F20" t="s">
        <v>324</v>
      </c>
      <c r="G20" t="s">
        <v>120</v>
      </c>
      <c r="H20" t="s">
        <v>119</v>
      </c>
      <c r="I20" t="s">
        <v>276</v>
      </c>
    </row>
    <row r="21" spans="1:9">
      <c r="A21">
        <v>167</v>
      </c>
      <c r="B21" t="s">
        <v>325</v>
      </c>
      <c r="C21" t="s">
        <v>326</v>
      </c>
      <c r="D21" t="s">
        <v>10</v>
      </c>
      <c r="E21" t="s">
        <v>326</v>
      </c>
      <c r="F21" t="s">
        <v>327</v>
      </c>
      <c r="G21" t="s">
        <v>120</v>
      </c>
      <c r="H21" t="s">
        <v>119</v>
      </c>
      <c r="I21" t="s">
        <v>276</v>
      </c>
    </row>
    <row r="22" spans="1:9">
      <c r="A22">
        <v>282</v>
      </c>
      <c r="B22" t="s">
        <v>328</v>
      </c>
      <c r="C22" t="s">
        <v>329</v>
      </c>
      <c r="D22" t="s">
        <v>10</v>
      </c>
      <c r="E22" t="s">
        <v>330</v>
      </c>
      <c r="F22" t="s">
        <v>328</v>
      </c>
      <c r="G22" t="s">
        <v>120</v>
      </c>
      <c r="H22" t="s">
        <v>119</v>
      </c>
      <c r="I22" t="s">
        <v>276</v>
      </c>
    </row>
    <row r="23" spans="1:9">
      <c r="A23">
        <v>287</v>
      </c>
      <c r="B23" t="s">
        <v>331</v>
      </c>
      <c r="C23" t="s">
        <v>332</v>
      </c>
      <c r="D23" t="s">
        <v>10</v>
      </c>
      <c r="E23" t="s">
        <v>333</v>
      </c>
      <c r="F23" t="s">
        <v>331</v>
      </c>
      <c r="G23" t="s">
        <v>120</v>
      </c>
      <c r="H23" t="s">
        <v>119</v>
      </c>
      <c r="I23" t="s">
        <v>276</v>
      </c>
    </row>
    <row r="24" spans="1:9">
      <c r="A24">
        <v>298</v>
      </c>
      <c r="B24" t="s">
        <v>334</v>
      </c>
      <c r="C24" t="s">
        <v>335</v>
      </c>
      <c r="D24" t="s">
        <v>10</v>
      </c>
      <c r="E24" t="s">
        <v>336</v>
      </c>
      <c r="F24" t="s">
        <v>337</v>
      </c>
      <c r="G24" t="s">
        <v>120</v>
      </c>
      <c r="H24" t="s">
        <v>119</v>
      </c>
      <c r="I24" t="s">
        <v>276</v>
      </c>
    </row>
    <row r="25" spans="1:9">
      <c r="A25">
        <v>85</v>
      </c>
      <c r="B25" t="s">
        <v>338</v>
      </c>
      <c r="C25" t="s">
        <v>339</v>
      </c>
      <c r="D25" t="s">
        <v>34</v>
      </c>
      <c r="E25" t="s">
        <v>339</v>
      </c>
      <c r="F25" t="s">
        <v>340</v>
      </c>
      <c r="G25" t="s">
        <v>120</v>
      </c>
      <c r="H25" t="s">
        <v>123</v>
      </c>
      <c r="I25" t="s">
        <v>276</v>
      </c>
    </row>
    <row r="26" spans="1:9">
      <c r="A26">
        <v>14</v>
      </c>
      <c r="B26" t="s">
        <v>341</v>
      </c>
      <c r="C26" t="s">
        <v>342</v>
      </c>
      <c r="D26" t="s">
        <v>10</v>
      </c>
      <c r="E26" t="s">
        <v>343</v>
      </c>
      <c r="F26" t="s">
        <v>344</v>
      </c>
      <c r="G26" t="s">
        <v>120</v>
      </c>
      <c r="H26" t="s">
        <v>123</v>
      </c>
      <c r="I26" t="s">
        <v>276</v>
      </c>
    </row>
    <row r="27" spans="1:9">
      <c r="A27">
        <v>90</v>
      </c>
      <c r="B27" t="s">
        <v>345</v>
      </c>
      <c r="C27" t="s">
        <v>346</v>
      </c>
      <c r="D27" t="s">
        <v>10</v>
      </c>
      <c r="E27" t="s">
        <v>347</v>
      </c>
      <c r="F27" t="s">
        <v>348</v>
      </c>
      <c r="G27" t="s">
        <v>120</v>
      </c>
      <c r="H27" t="s">
        <v>123</v>
      </c>
      <c r="I27" t="s">
        <v>276</v>
      </c>
    </row>
    <row r="28" spans="1:9">
      <c r="A28">
        <v>78</v>
      </c>
      <c r="B28" t="s">
        <v>349</v>
      </c>
      <c r="C28" t="s">
        <v>350</v>
      </c>
      <c r="D28" t="s">
        <v>34</v>
      </c>
      <c r="E28" t="s">
        <v>350</v>
      </c>
      <c r="F28" t="s">
        <v>351</v>
      </c>
      <c r="G28" t="s">
        <v>120</v>
      </c>
      <c r="H28" t="s">
        <v>123</v>
      </c>
      <c r="I28" t="s">
        <v>276</v>
      </c>
    </row>
    <row r="29" spans="1:9">
      <c r="A29">
        <v>84</v>
      </c>
      <c r="B29" t="s">
        <v>352</v>
      </c>
      <c r="C29" t="s">
        <v>353</v>
      </c>
      <c r="D29" t="s">
        <v>34</v>
      </c>
      <c r="E29" t="s">
        <v>353</v>
      </c>
      <c r="F29" t="s">
        <v>352</v>
      </c>
      <c r="G29" t="s">
        <v>120</v>
      </c>
      <c r="H29" t="s">
        <v>123</v>
      </c>
      <c r="I29" t="s">
        <v>276</v>
      </c>
    </row>
    <row r="30" spans="1:9">
      <c r="A30">
        <v>74</v>
      </c>
      <c r="B30" t="s">
        <v>354</v>
      </c>
      <c r="C30" t="s">
        <v>355</v>
      </c>
      <c r="D30" t="s">
        <v>10</v>
      </c>
      <c r="E30" t="s">
        <v>356</v>
      </c>
      <c r="F30" t="s">
        <v>357</v>
      </c>
      <c r="G30" t="s">
        <v>120</v>
      </c>
      <c r="H30" t="s">
        <v>123</v>
      </c>
      <c r="I30" t="s">
        <v>276</v>
      </c>
    </row>
    <row r="31" spans="1:9">
      <c r="A31">
        <v>73</v>
      </c>
      <c r="B31" t="s">
        <v>358</v>
      </c>
      <c r="C31" t="s">
        <v>359</v>
      </c>
      <c r="D31" t="s">
        <v>10</v>
      </c>
      <c r="E31" t="s">
        <v>360</v>
      </c>
      <c r="F31" t="s">
        <v>358</v>
      </c>
      <c r="G31" t="s">
        <v>120</v>
      </c>
      <c r="H31" t="s">
        <v>123</v>
      </c>
      <c r="I31" t="s">
        <v>276</v>
      </c>
    </row>
    <row r="32" spans="1:9">
      <c r="A32">
        <v>87</v>
      </c>
      <c r="B32" t="s">
        <v>361</v>
      </c>
      <c r="C32" t="s">
        <v>362</v>
      </c>
      <c r="D32" t="s">
        <v>34</v>
      </c>
      <c r="E32" t="s">
        <v>363</v>
      </c>
      <c r="F32" t="s">
        <v>364</v>
      </c>
      <c r="G32" t="s">
        <v>120</v>
      </c>
      <c r="H32" t="s">
        <v>123</v>
      </c>
      <c r="I32" t="s">
        <v>276</v>
      </c>
    </row>
    <row r="33" spans="1:9">
      <c r="A33">
        <v>13</v>
      </c>
      <c r="B33" t="s">
        <v>121</v>
      </c>
      <c r="C33" t="s">
        <v>122</v>
      </c>
      <c r="D33" t="s">
        <v>10</v>
      </c>
      <c r="E33" t="s">
        <v>122</v>
      </c>
      <c r="F33" t="s">
        <v>365</v>
      </c>
      <c r="G33" t="s">
        <v>120</v>
      </c>
      <c r="H33" t="s">
        <v>123</v>
      </c>
      <c r="I33" t="s">
        <v>107</v>
      </c>
    </row>
    <row r="34" spans="1:9">
      <c r="A34">
        <v>72</v>
      </c>
      <c r="B34" t="s">
        <v>366</v>
      </c>
      <c r="C34" t="s">
        <v>367</v>
      </c>
      <c r="D34" t="s">
        <v>10</v>
      </c>
      <c r="E34" t="s">
        <v>368</v>
      </c>
      <c r="F34" t="s">
        <v>366</v>
      </c>
      <c r="G34" t="s">
        <v>120</v>
      </c>
      <c r="H34" t="s">
        <v>123</v>
      </c>
      <c r="I34" t="s">
        <v>276</v>
      </c>
    </row>
    <row r="35" spans="1:9">
      <c r="A35">
        <v>80</v>
      </c>
      <c r="B35" t="s">
        <v>369</v>
      </c>
      <c r="C35" t="s">
        <v>370</v>
      </c>
      <c r="D35" t="s">
        <v>10</v>
      </c>
      <c r="E35" t="s">
        <v>370</v>
      </c>
      <c r="F35" t="s">
        <v>371</v>
      </c>
      <c r="G35" t="s">
        <v>120</v>
      </c>
      <c r="H35" t="s">
        <v>123</v>
      </c>
      <c r="I35" t="s">
        <v>276</v>
      </c>
    </row>
    <row r="36" spans="1:9">
      <c r="A36">
        <v>46</v>
      </c>
      <c r="B36" t="s">
        <v>372</v>
      </c>
      <c r="C36" t="s">
        <v>373</v>
      </c>
      <c r="D36" t="s">
        <v>10</v>
      </c>
      <c r="E36" t="s">
        <v>373</v>
      </c>
      <c r="F36" t="s">
        <v>372</v>
      </c>
      <c r="G36" t="s">
        <v>120</v>
      </c>
      <c r="H36" t="s">
        <v>123</v>
      </c>
      <c r="I36" t="s">
        <v>276</v>
      </c>
    </row>
    <row r="37" spans="1:9">
      <c r="A37">
        <v>177</v>
      </c>
      <c r="B37" t="s">
        <v>374</v>
      </c>
      <c r="C37" t="s">
        <v>375</v>
      </c>
      <c r="D37" t="s">
        <v>10</v>
      </c>
      <c r="E37" t="s">
        <v>375</v>
      </c>
      <c r="F37" t="s">
        <v>376</v>
      </c>
      <c r="G37" t="s">
        <v>120</v>
      </c>
      <c r="H37" t="s">
        <v>126</v>
      </c>
      <c r="I37" t="s">
        <v>276</v>
      </c>
    </row>
    <row r="38" spans="1:9">
      <c r="A38">
        <v>174</v>
      </c>
      <c r="B38" t="s">
        <v>377</v>
      </c>
      <c r="C38" t="s">
        <v>378</v>
      </c>
      <c r="D38" t="s">
        <v>10</v>
      </c>
      <c r="E38" t="s">
        <v>378</v>
      </c>
      <c r="F38" t="s">
        <v>379</v>
      </c>
      <c r="G38" t="s">
        <v>120</v>
      </c>
      <c r="H38" t="s">
        <v>126</v>
      </c>
      <c r="I38" t="s">
        <v>276</v>
      </c>
    </row>
    <row r="39" spans="1:9">
      <c r="A39">
        <v>169</v>
      </c>
      <c r="B39" t="s">
        <v>380</v>
      </c>
      <c r="C39" t="s">
        <v>381</v>
      </c>
      <c r="D39" t="s">
        <v>10</v>
      </c>
      <c r="E39" t="s">
        <v>381</v>
      </c>
      <c r="F39" t="s">
        <v>382</v>
      </c>
      <c r="G39" t="s">
        <v>120</v>
      </c>
      <c r="H39" t="s">
        <v>126</v>
      </c>
      <c r="I39" t="s">
        <v>276</v>
      </c>
    </row>
    <row r="40" spans="1:9">
      <c r="A40">
        <v>141</v>
      </c>
      <c r="B40" t="s">
        <v>383</v>
      </c>
      <c r="C40" t="s">
        <v>384</v>
      </c>
      <c r="D40" t="s">
        <v>10</v>
      </c>
      <c r="E40" t="s">
        <v>385</v>
      </c>
      <c r="F40" t="s">
        <v>386</v>
      </c>
      <c r="G40" t="s">
        <v>120</v>
      </c>
      <c r="H40" t="s">
        <v>126</v>
      </c>
      <c r="I40" t="s">
        <v>276</v>
      </c>
    </row>
    <row r="41" spans="1:9">
      <c r="A41">
        <v>214</v>
      </c>
      <c r="B41" t="s">
        <v>387</v>
      </c>
      <c r="C41" t="s">
        <v>388</v>
      </c>
      <c r="D41" t="s">
        <v>10</v>
      </c>
      <c r="E41" t="s">
        <v>389</v>
      </c>
      <c r="F41" t="s">
        <v>390</v>
      </c>
      <c r="G41" t="s">
        <v>120</v>
      </c>
      <c r="H41" t="s">
        <v>126</v>
      </c>
      <c r="I41" t="s">
        <v>276</v>
      </c>
    </row>
    <row r="42" spans="1:9">
      <c r="A42">
        <v>142</v>
      </c>
      <c r="B42" t="s">
        <v>391</v>
      </c>
      <c r="C42" t="s">
        <v>392</v>
      </c>
      <c r="D42" t="s">
        <v>10</v>
      </c>
      <c r="E42" t="s">
        <v>393</v>
      </c>
      <c r="F42" t="s">
        <v>394</v>
      </c>
      <c r="G42" t="s">
        <v>120</v>
      </c>
      <c r="H42" t="s">
        <v>126</v>
      </c>
      <c r="I42" t="s">
        <v>276</v>
      </c>
    </row>
    <row r="43" spans="1:9">
      <c r="A43">
        <v>139</v>
      </c>
      <c r="B43" t="s">
        <v>124</v>
      </c>
      <c r="C43" t="s">
        <v>125</v>
      </c>
      <c r="D43" t="s">
        <v>10</v>
      </c>
      <c r="E43" t="s">
        <v>125</v>
      </c>
      <c r="F43" t="s">
        <v>124</v>
      </c>
      <c r="G43" t="s">
        <v>120</v>
      </c>
      <c r="H43" t="s">
        <v>126</v>
      </c>
      <c r="I43" t="s">
        <v>107</v>
      </c>
    </row>
    <row r="44" spans="1:9">
      <c r="A44">
        <v>162</v>
      </c>
      <c r="B44" t="s">
        <v>395</v>
      </c>
      <c r="C44" t="s">
        <v>396</v>
      </c>
      <c r="D44" t="s">
        <v>10</v>
      </c>
      <c r="E44" t="s">
        <v>396</v>
      </c>
      <c r="F44" t="s">
        <v>397</v>
      </c>
      <c r="G44" t="s">
        <v>120</v>
      </c>
      <c r="H44" t="s">
        <v>126</v>
      </c>
      <c r="I44" t="s">
        <v>276</v>
      </c>
    </row>
    <row r="45" spans="1:9">
      <c r="A45">
        <v>259</v>
      </c>
      <c r="B45" t="s">
        <v>398</v>
      </c>
      <c r="C45" t="s">
        <v>399</v>
      </c>
      <c r="D45" t="s">
        <v>10</v>
      </c>
      <c r="E45" t="s">
        <v>400</v>
      </c>
      <c r="F45" t="s">
        <v>401</v>
      </c>
      <c r="G45" t="s">
        <v>120</v>
      </c>
      <c r="H45" t="s">
        <v>126</v>
      </c>
      <c r="I45" t="s">
        <v>276</v>
      </c>
    </row>
    <row r="46" spans="1:9">
      <c r="A46">
        <v>260</v>
      </c>
      <c r="B46" t="s">
        <v>402</v>
      </c>
      <c r="C46" t="s">
        <v>403</v>
      </c>
      <c r="D46" t="s">
        <v>10</v>
      </c>
      <c r="E46" t="s">
        <v>404</v>
      </c>
      <c r="F46" t="s">
        <v>405</v>
      </c>
      <c r="G46" t="s">
        <v>120</v>
      </c>
      <c r="H46" t="s">
        <v>126</v>
      </c>
      <c r="I46" t="s">
        <v>276</v>
      </c>
    </row>
    <row r="47" spans="1:9">
      <c r="A47">
        <v>31</v>
      </c>
      <c r="B47" t="s">
        <v>127</v>
      </c>
      <c r="C47" t="s">
        <v>128</v>
      </c>
      <c r="D47" t="s">
        <v>34</v>
      </c>
      <c r="E47" t="s">
        <v>406</v>
      </c>
      <c r="F47" t="s">
        <v>407</v>
      </c>
      <c r="G47" t="s">
        <v>120</v>
      </c>
      <c r="H47" t="s">
        <v>408</v>
      </c>
      <c r="I47" t="s">
        <v>107</v>
      </c>
    </row>
    <row r="48" spans="1:9">
      <c r="A48">
        <v>33</v>
      </c>
      <c r="B48" t="s">
        <v>409</v>
      </c>
      <c r="C48" t="s">
        <v>410</v>
      </c>
      <c r="D48" t="s">
        <v>34</v>
      </c>
      <c r="E48" t="s">
        <v>411</v>
      </c>
      <c r="F48" t="s">
        <v>412</v>
      </c>
      <c r="G48" t="s">
        <v>120</v>
      </c>
      <c r="H48" t="s">
        <v>408</v>
      </c>
      <c r="I48" t="s">
        <v>276</v>
      </c>
    </row>
    <row r="49" spans="1:9">
      <c r="A49">
        <v>122</v>
      </c>
      <c r="B49" t="s">
        <v>413</v>
      </c>
      <c r="C49" t="s">
        <v>414</v>
      </c>
      <c r="D49" t="s">
        <v>10</v>
      </c>
      <c r="E49" t="s">
        <v>414</v>
      </c>
      <c r="F49" t="s">
        <v>415</v>
      </c>
      <c r="G49" t="s">
        <v>120</v>
      </c>
      <c r="H49" t="s">
        <v>408</v>
      </c>
      <c r="I49" t="s">
        <v>276</v>
      </c>
    </row>
    <row r="50" spans="1:9">
      <c r="A50">
        <v>104</v>
      </c>
      <c r="B50" t="s">
        <v>416</v>
      </c>
      <c r="C50" t="s">
        <v>417</v>
      </c>
      <c r="D50" t="s">
        <v>10</v>
      </c>
      <c r="E50" t="s">
        <v>418</v>
      </c>
      <c r="F50" t="s">
        <v>416</v>
      </c>
      <c r="G50" t="s">
        <v>120</v>
      </c>
      <c r="H50" t="s">
        <v>408</v>
      </c>
      <c r="I50" t="s">
        <v>276</v>
      </c>
    </row>
    <row r="51" spans="1:9">
      <c r="A51">
        <v>32</v>
      </c>
      <c r="B51" t="s">
        <v>419</v>
      </c>
      <c r="C51" t="s">
        <v>420</v>
      </c>
      <c r="D51" t="s">
        <v>10</v>
      </c>
      <c r="E51" t="s">
        <v>420</v>
      </c>
      <c r="F51" t="s">
        <v>421</v>
      </c>
      <c r="G51" t="s">
        <v>120</v>
      </c>
      <c r="H51" t="s">
        <v>408</v>
      </c>
      <c r="I51" t="s">
        <v>276</v>
      </c>
    </row>
    <row r="52" spans="1:9">
      <c r="A52">
        <v>120</v>
      </c>
      <c r="B52" t="s">
        <v>422</v>
      </c>
      <c r="C52" t="s">
        <v>423</v>
      </c>
      <c r="D52" t="s">
        <v>10</v>
      </c>
      <c r="E52" t="s">
        <v>424</v>
      </c>
      <c r="F52" t="s">
        <v>422</v>
      </c>
      <c r="G52" t="s">
        <v>120</v>
      </c>
      <c r="H52" t="s">
        <v>408</v>
      </c>
      <c r="I52" t="s">
        <v>276</v>
      </c>
    </row>
    <row r="53" spans="1:9">
      <c r="A53">
        <v>103</v>
      </c>
      <c r="B53" t="s">
        <v>425</v>
      </c>
      <c r="C53" t="s">
        <v>426</v>
      </c>
      <c r="D53" t="s">
        <v>10</v>
      </c>
      <c r="E53" t="s">
        <v>426</v>
      </c>
      <c r="F53" t="s">
        <v>427</v>
      </c>
      <c r="G53" t="s">
        <v>120</v>
      </c>
      <c r="H53" t="s">
        <v>408</v>
      </c>
      <c r="I53" t="s">
        <v>276</v>
      </c>
    </row>
    <row r="54" spans="1:9">
      <c r="A54">
        <v>112</v>
      </c>
      <c r="B54" t="s">
        <v>428</v>
      </c>
      <c r="C54" t="s">
        <v>429</v>
      </c>
      <c r="D54" t="s">
        <v>10</v>
      </c>
      <c r="E54" t="s">
        <v>429</v>
      </c>
      <c r="F54" t="s">
        <v>430</v>
      </c>
      <c r="G54" t="s">
        <v>120</v>
      </c>
      <c r="H54" t="s">
        <v>408</v>
      </c>
      <c r="I54" t="s">
        <v>276</v>
      </c>
    </row>
    <row r="55" spans="1:9">
      <c r="A55">
        <v>63</v>
      </c>
      <c r="B55" t="s">
        <v>431</v>
      </c>
      <c r="C55" t="s">
        <v>432</v>
      </c>
      <c r="D55" t="s">
        <v>10</v>
      </c>
      <c r="E55" t="s">
        <v>433</v>
      </c>
      <c r="F55" t="s">
        <v>434</v>
      </c>
      <c r="G55" t="s">
        <v>120</v>
      </c>
      <c r="H55" t="s">
        <v>408</v>
      </c>
      <c r="I55" t="s">
        <v>276</v>
      </c>
    </row>
    <row r="56" spans="1:9">
      <c r="A56">
        <v>21</v>
      </c>
      <c r="B56" t="s">
        <v>435</v>
      </c>
      <c r="C56" t="s">
        <v>436</v>
      </c>
      <c r="D56" t="s">
        <v>10</v>
      </c>
      <c r="E56" t="s">
        <v>436</v>
      </c>
      <c r="F56" t="s">
        <v>435</v>
      </c>
      <c r="G56" t="s">
        <v>120</v>
      </c>
      <c r="H56" t="s">
        <v>132</v>
      </c>
      <c r="I56" t="s">
        <v>276</v>
      </c>
    </row>
    <row r="57" spans="1:9">
      <c r="A57">
        <v>126</v>
      </c>
      <c r="B57" t="s">
        <v>437</v>
      </c>
      <c r="C57" t="s">
        <v>438</v>
      </c>
      <c r="D57" t="s">
        <v>34</v>
      </c>
      <c r="E57" t="s">
        <v>438</v>
      </c>
      <c r="F57" t="s">
        <v>439</v>
      </c>
      <c r="G57" t="s">
        <v>120</v>
      </c>
      <c r="H57" t="s">
        <v>132</v>
      </c>
      <c r="I57" t="s">
        <v>276</v>
      </c>
    </row>
    <row r="58" spans="1:9">
      <c r="A58">
        <v>22</v>
      </c>
      <c r="B58" t="s">
        <v>220</v>
      </c>
      <c r="C58" t="s">
        <v>221</v>
      </c>
      <c r="D58" t="s">
        <v>10</v>
      </c>
      <c r="E58" t="s">
        <v>440</v>
      </c>
      <c r="F58" t="s">
        <v>441</v>
      </c>
      <c r="G58" t="s">
        <v>120</v>
      </c>
      <c r="H58" t="s">
        <v>132</v>
      </c>
      <c r="I58" t="s">
        <v>107</v>
      </c>
    </row>
    <row r="59" spans="1:9">
      <c r="A59">
        <v>17</v>
      </c>
      <c r="B59" t="s">
        <v>442</v>
      </c>
      <c r="C59" t="s">
        <v>443</v>
      </c>
      <c r="D59" t="s">
        <v>10</v>
      </c>
      <c r="E59" t="s">
        <v>443</v>
      </c>
      <c r="F59" t="s">
        <v>442</v>
      </c>
      <c r="G59" t="s">
        <v>120</v>
      </c>
      <c r="H59" t="s">
        <v>132</v>
      </c>
      <c r="I59" t="s">
        <v>276</v>
      </c>
    </row>
    <row r="60" spans="1:9">
      <c r="A60">
        <v>15</v>
      </c>
      <c r="B60" t="s">
        <v>130</v>
      </c>
      <c r="C60" t="s">
        <v>131</v>
      </c>
      <c r="D60" t="s">
        <v>10</v>
      </c>
      <c r="E60" t="s">
        <v>444</v>
      </c>
      <c r="F60" t="s">
        <v>445</v>
      </c>
      <c r="G60" t="s">
        <v>120</v>
      </c>
      <c r="H60" t="s">
        <v>132</v>
      </c>
      <c r="I60" t="s">
        <v>107</v>
      </c>
    </row>
    <row r="61" spans="1:9">
      <c r="A61">
        <v>91</v>
      </c>
      <c r="B61" t="s">
        <v>446</v>
      </c>
      <c r="C61" t="s">
        <v>447</v>
      </c>
      <c r="D61" t="s">
        <v>10</v>
      </c>
      <c r="E61" t="s">
        <v>448</v>
      </c>
      <c r="F61" t="s">
        <v>449</v>
      </c>
      <c r="G61" t="s">
        <v>120</v>
      </c>
      <c r="H61" t="s">
        <v>132</v>
      </c>
      <c r="I61" t="s">
        <v>276</v>
      </c>
    </row>
    <row r="62" spans="1:9">
      <c r="A62">
        <v>253</v>
      </c>
      <c r="B62" t="s">
        <v>450</v>
      </c>
      <c r="C62" t="s">
        <v>451</v>
      </c>
      <c r="D62" t="s">
        <v>10</v>
      </c>
      <c r="E62" t="s">
        <v>451</v>
      </c>
      <c r="F62" t="s">
        <v>452</v>
      </c>
      <c r="G62" t="s">
        <v>120</v>
      </c>
      <c r="H62" t="s">
        <v>132</v>
      </c>
      <c r="I62" t="s">
        <v>276</v>
      </c>
    </row>
    <row r="63" spans="1:9">
      <c r="A63">
        <v>16</v>
      </c>
      <c r="B63" t="s">
        <v>453</v>
      </c>
      <c r="C63" t="s">
        <v>454</v>
      </c>
      <c r="D63" t="s">
        <v>10</v>
      </c>
      <c r="E63" t="s">
        <v>455</v>
      </c>
      <c r="F63" t="s">
        <v>456</v>
      </c>
      <c r="G63" t="s">
        <v>120</v>
      </c>
      <c r="H63" t="s">
        <v>132</v>
      </c>
      <c r="I63" t="s">
        <v>276</v>
      </c>
    </row>
    <row r="64" spans="1:9">
      <c r="A64">
        <v>300</v>
      </c>
      <c r="B64" t="s">
        <v>457</v>
      </c>
      <c r="C64" t="s">
        <v>458</v>
      </c>
      <c r="D64" t="s">
        <v>10</v>
      </c>
      <c r="E64" t="s">
        <v>458</v>
      </c>
      <c r="F64" t="s">
        <v>459</v>
      </c>
      <c r="G64" t="s">
        <v>120</v>
      </c>
      <c r="H64" t="s">
        <v>132</v>
      </c>
      <c r="I64" t="s">
        <v>276</v>
      </c>
    </row>
    <row r="65" spans="1:9">
      <c r="A65">
        <v>23</v>
      </c>
      <c r="B65" t="s">
        <v>460</v>
      </c>
      <c r="C65" t="s">
        <v>461</v>
      </c>
      <c r="D65" t="s">
        <v>10</v>
      </c>
      <c r="E65" t="s">
        <v>462</v>
      </c>
      <c r="F65" t="s">
        <v>463</v>
      </c>
      <c r="G65" t="s">
        <v>120</v>
      </c>
      <c r="H65" t="s">
        <v>132</v>
      </c>
      <c r="I65" t="s">
        <v>276</v>
      </c>
    </row>
    <row r="66" spans="1:9">
      <c r="A66">
        <v>19</v>
      </c>
      <c r="B66" t="s">
        <v>464</v>
      </c>
      <c r="C66" t="s">
        <v>465</v>
      </c>
      <c r="D66" t="s">
        <v>10</v>
      </c>
      <c r="E66" t="s">
        <v>465</v>
      </c>
      <c r="F66" t="s">
        <v>464</v>
      </c>
      <c r="G66" t="s">
        <v>120</v>
      </c>
      <c r="H66" t="s">
        <v>132</v>
      </c>
      <c r="I66" t="s">
        <v>276</v>
      </c>
    </row>
    <row r="67" spans="1:9">
      <c r="A67">
        <v>18</v>
      </c>
      <c r="B67" t="s">
        <v>28</v>
      </c>
      <c r="C67" t="s">
        <v>29</v>
      </c>
      <c r="D67" t="s">
        <v>10</v>
      </c>
      <c r="E67" t="s">
        <v>466</v>
      </c>
      <c r="F67" t="s">
        <v>28</v>
      </c>
      <c r="G67" t="s">
        <v>120</v>
      </c>
      <c r="H67" t="s">
        <v>132</v>
      </c>
      <c r="I67" t="s">
        <v>107</v>
      </c>
    </row>
    <row r="68" spans="1:9">
      <c r="A68">
        <v>79</v>
      </c>
      <c r="B68" t="s">
        <v>467</v>
      </c>
      <c r="C68" t="s">
        <v>468</v>
      </c>
      <c r="D68" t="s">
        <v>10</v>
      </c>
      <c r="E68" t="s">
        <v>468</v>
      </c>
      <c r="F68" t="s">
        <v>467</v>
      </c>
      <c r="G68" t="s">
        <v>120</v>
      </c>
      <c r="H68" t="s">
        <v>132</v>
      </c>
      <c r="I68" t="s">
        <v>276</v>
      </c>
    </row>
    <row r="69" spans="1:9">
      <c r="A69">
        <v>20</v>
      </c>
      <c r="B69" t="s">
        <v>469</v>
      </c>
      <c r="C69" t="s">
        <v>470</v>
      </c>
      <c r="D69" t="s">
        <v>10</v>
      </c>
      <c r="E69" t="s">
        <v>470</v>
      </c>
      <c r="F69" t="s">
        <v>471</v>
      </c>
      <c r="G69" t="s">
        <v>120</v>
      </c>
      <c r="H69" t="s">
        <v>132</v>
      </c>
      <c r="I69" t="s">
        <v>276</v>
      </c>
    </row>
    <row r="70" spans="1:9">
      <c r="A70">
        <v>24</v>
      </c>
      <c r="B70" t="s">
        <v>472</v>
      </c>
      <c r="C70" t="s">
        <v>222</v>
      </c>
      <c r="D70" t="s">
        <v>10</v>
      </c>
      <c r="E70" t="s">
        <v>473</v>
      </c>
      <c r="F70" t="s">
        <v>474</v>
      </c>
      <c r="G70" t="s">
        <v>120</v>
      </c>
      <c r="H70" t="s">
        <v>132</v>
      </c>
      <c r="I70" t="s">
        <v>276</v>
      </c>
    </row>
    <row r="71" spans="1:9">
      <c r="A71">
        <v>208</v>
      </c>
      <c r="B71" t="s">
        <v>475</v>
      </c>
      <c r="C71" t="s">
        <v>476</v>
      </c>
      <c r="D71" t="s">
        <v>10</v>
      </c>
      <c r="E71" t="s">
        <v>477</v>
      </c>
      <c r="F71" t="s">
        <v>478</v>
      </c>
      <c r="G71" t="s">
        <v>120</v>
      </c>
      <c r="H71" t="s">
        <v>135</v>
      </c>
      <c r="I71" t="s">
        <v>276</v>
      </c>
    </row>
    <row r="72" spans="1:9">
      <c r="A72">
        <v>246</v>
      </c>
      <c r="B72" t="s">
        <v>479</v>
      </c>
      <c r="C72" t="s">
        <v>480</v>
      </c>
      <c r="D72" t="s">
        <v>10</v>
      </c>
      <c r="E72" t="s">
        <v>480</v>
      </c>
      <c r="F72" t="s">
        <v>481</v>
      </c>
      <c r="G72" t="s">
        <v>120</v>
      </c>
      <c r="H72" t="s">
        <v>135</v>
      </c>
      <c r="I72" t="s">
        <v>276</v>
      </c>
    </row>
    <row r="73" spans="1:9">
      <c r="A73">
        <v>234</v>
      </c>
      <c r="B73" t="s">
        <v>482</v>
      </c>
      <c r="C73" t="s">
        <v>483</v>
      </c>
      <c r="D73" t="s">
        <v>10</v>
      </c>
      <c r="E73" t="s">
        <v>484</v>
      </c>
      <c r="F73" t="s">
        <v>485</v>
      </c>
      <c r="G73" t="s">
        <v>120</v>
      </c>
      <c r="H73" t="s">
        <v>135</v>
      </c>
      <c r="I73" t="s">
        <v>276</v>
      </c>
    </row>
    <row r="74" spans="1:9">
      <c r="A74">
        <v>310</v>
      </c>
      <c r="B74" t="s">
        <v>486</v>
      </c>
      <c r="C74" t="s">
        <v>487</v>
      </c>
      <c r="D74" t="s">
        <v>10</v>
      </c>
      <c r="E74" t="s">
        <v>487</v>
      </c>
      <c r="F74" t="s">
        <v>488</v>
      </c>
      <c r="G74" t="s">
        <v>120</v>
      </c>
      <c r="H74" t="s">
        <v>135</v>
      </c>
      <c r="I74" t="s">
        <v>276</v>
      </c>
    </row>
    <row r="75" spans="1:9">
      <c r="A75">
        <v>206</v>
      </c>
      <c r="B75" t="s">
        <v>489</v>
      </c>
      <c r="C75" t="s">
        <v>490</v>
      </c>
      <c r="D75" t="s">
        <v>10</v>
      </c>
      <c r="E75" t="s">
        <v>491</v>
      </c>
      <c r="F75" t="s">
        <v>492</v>
      </c>
      <c r="G75" t="s">
        <v>120</v>
      </c>
      <c r="H75" t="s">
        <v>135</v>
      </c>
      <c r="I75" t="s">
        <v>276</v>
      </c>
    </row>
    <row r="76" spans="1:9">
      <c r="A76">
        <v>207</v>
      </c>
      <c r="B76" t="s">
        <v>493</v>
      </c>
      <c r="C76" t="s">
        <v>494</v>
      </c>
      <c r="D76" t="s">
        <v>10</v>
      </c>
      <c r="E76" t="s">
        <v>495</v>
      </c>
      <c r="F76" t="s">
        <v>496</v>
      </c>
      <c r="G76" t="s">
        <v>120</v>
      </c>
      <c r="H76" t="s">
        <v>135</v>
      </c>
      <c r="I76" t="s">
        <v>276</v>
      </c>
    </row>
    <row r="77" spans="1:9">
      <c r="A77">
        <v>205</v>
      </c>
      <c r="B77" t="s">
        <v>133</v>
      </c>
      <c r="C77" t="s">
        <v>134</v>
      </c>
      <c r="D77" t="s">
        <v>10</v>
      </c>
      <c r="E77" t="s">
        <v>497</v>
      </c>
      <c r="F77" t="s">
        <v>498</v>
      </c>
      <c r="G77" t="s">
        <v>120</v>
      </c>
      <c r="H77" t="s">
        <v>135</v>
      </c>
      <c r="I77" t="s">
        <v>107</v>
      </c>
    </row>
    <row r="78" spans="1:9">
      <c r="A78">
        <v>247</v>
      </c>
      <c r="B78" t="s">
        <v>499</v>
      </c>
      <c r="C78" t="s">
        <v>500</v>
      </c>
      <c r="D78" t="s">
        <v>10</v>
      </c>
      <c r="E78" t="s">
        <v>501</v>
      </c>
      <c r="F78" t="s">
        <v>502</v>
      </c>
      <c r="G78" t="s">
        <v>120</v>
      </c>
      <c r="H78" t="s">
        <v>135</v>
      </c>
      <c r="I78" t="s">
        <v>276</v>
      </c>
    </row>
    <row r="79" spans="1:9">
      <c r="A79">
        <v>235</v>
      </c>
      <c r="B79" t="s">
        <v>503</v>
      </c>
      <c r="C79" t="s">
        <v>504</v>
      </c>
      <c r="D79" t="s">
        <v>10</v>
      </c>
      <c r="E79" t="s">
        <v>504</v>
      </c>
      <c r="F79" t="s">
        <v>505</v>
      </c>
      <c r="G79" t="s">
        <v>120</v>
      </c>
      <c r="H79" t="s">
        <v>135</v>
      </c>
      <c r="I79" t="s">
        <v>276</v>
      </c>
    </row>
    <row r="80" spans="1:9">
      <c r="A80">
        <v>238</v>
      </c>
      <c r="B80" t="s">
        <v>506</v>
      </c>
      <c r="C80" t="s">
        <v>507</v>
      </c>
      <c r="D80" t="s">
        <v>10</v>
      </c>
      <c r="E80" t="s">
        <v>507</v>
      </c>
      <c r="F80" t="s">
        <v>508</v>
      </c>
      <c r="G80" t="s">
        <v>120</v>
      </c>
      <c r="H80" t="s">
        <v>163</v>
      </c>
      <c r="I80" t="s">
        <v>276</v>
      </c>
    </row>
    <row r="81" spans="1:9">
      <c r="A81">
        <v>189</v>
      </c>
      <c r="B81" t="s">
        <v>509</v>
      </c>
      <c r="C81" t="s">
        <v>510</v>
      </c>
      <c r="D81" t="s">
        <v>34</v>
      </c>
      <c r="E81" t="s">
        <v>510</v>
      </c>
      <c r="F81" t="s">
        <v>511</v>
      </c>
      <c r="G81" t="s">
        <v>120</v>
      </c>
      <c r="H81" t="s">
        <v>163</v>
      </c>
      <c r="I81" t="s">
        <v>276</v>
      </c>
    </row>
    <row r="82" spans="1:9">
      <c r="A82">
        <v>303</v>
      </c>
      <c r="B82" t="s">
        <v>136</v>
      </c>
      <c r="C82" t="s">
        <v>137</v>
      </c>
      <c r="D82" t="s">
        <v>34</v>
      </c>
      <c r="E82" t="s">
        <v>512</v>
      </c>
      <c r="F82" t="s">
        <v>513</v>
      </c>
      <c r="G82" t="s">
        <v>120</v>
      </c>
      <c r="H82" t="s">
        <v>163</v>
      </c>
      <c r="I82" t="s">
        <v>107</v>
      </c>
    </row>
    <row r="83" spans="1:9">
      <c r="A83">
        <v>12</v>
      </c>
      <c r="B83" t="s">
        <v>514</v>
      </c>
      <c r="C83" t="s">
        <v>515</v>
      </c>
      <c r="D83" t="s">
        <v>10</v>
      </c>
      <c r="E83" t="s">
        <v>516</v>
      </c>
      <c r="F83" t="s">
        <v>517</v>
      </c>
      <c r="G83" t="s">
        <v>120</v>
      </c>
      <c r="H83" t="s">
        <v>163</v>
      </c>
      <c r="I83" t="s">
        <v>276</v>
      </c>
    </row>
    <row r="84" spans="1:9">
      <c r="A84">
        <v>306</v>
      </c>
      <c r="B84" t="s">
        <v>518</v>
      </c>
      <c r="C84" t="s">
        <v>519</v>
      </c>
      <c r="D84" t="s">
        <v>34</v>
      </c>
      <c r="E84" t="s">
        <v>520</v>
      </c>
      <c r="F84" t="s">
        <v>518</v>
      </c>
      <c r="G84" t="s">
        <v>120</v>
      </c>
      <c r="H84" t="s">
        <v>163</v>
      </c>
      <c r="I84" t="s">
        <v>276</v>
      </c>
    </row>
    <row r="85" spans="1:9">
      <c r="A85">
        <v>124</v>
      </c>
      <c r="B85" t="s">
        <v>521</v>
      </c>
      <c r="C85" t="s">
        <v>522</v>
      </c>
      <c r="D85" t="s">
        <v>10</v>
      </c>
      <c r="E85" t="s">
        <v>522</v>
      </c>
      <c r="F85" t="s">
        <v>523</v>
      </c>
      <c r="G85" t="s">
        <v>120</v>
      </c>
      <c r="H85" t="s">
        <v>163</v>
      </c>
      <c r="I85" t="s">
        <v>276</v>
      </c>
    </row>
    <row r="86" spans="1:9">
      <c r="A86">
        <v>327</v>
      </c>
      <c r="B86" t="s">
        <v>524</v>
      </c>
      <c r="C86" t="s">
        <v>525</v>
      </c>
      <c r="D86" t="s">
        <v>34</v>
      </c>
      <c r="E86" t="s">
        <v>526</v>
      </c>
      <c r="F86" t="s">
        <v>524</v>
      </c>
      <c r="G86" t="s">
        <v>120</v>
      </c>
      <c r="H86" t="s">
        <v>138</v>
      </c>
      <c r="I86" t="s">
        <v>276</v>
      </c>
    </row>
    <row r="87" spans="1:9">
      <c r="A87">
        <v>332</v>
      </c>
      <c r="B87" t="s">
        <v>527</v>
      </c>
      <c r="C87" t="s">
        <v>528</v>
      </c>
      <c r="D87" t="s">
        <v>34</v>
      </c>
      <c r="E87" t="s">
        <v>528</v>
      </c>
      <c r="F87" t="s">
        <v>529</v>
      </c>
      <c r="G87" t="s">
        <v>120</v>
      </c>
      <c r="H87" t="s">
        <v>530</v>
      </c>
      <c r="I87" t="s">
        <v>276</v>
      </c>
    </row>
    <row r="88" spans="1:9">
      <c r="A88">
        <v>68</v>
      </c>
      <c r="B88" t="s">
        <v>531</v>
      </c>
      <c r="C88" t="s">
        <v>532</v>
      </c>
      <c r="D88" t="s">
        <v>10</v>
      </c>
      <c r="E88" t="s">
        <v>532</v>
      </c>
      <c r="F88" t="s">
        <v>533</v>
      </c>
      <c r="G88" t="s">
        <v>120</v>
      </c>
      <c r="H88" t="s">
        <v>141</v>
      </c>
      <c r="I88" t="s">
        <v>276</v>
      </c>
    </row>
    <row r="89" spans="1:9">
      <c r="A89">
        <v>102</v>
      </c>
      <c r="B89" t="s">
        <v>534</v>
      </c>
      <c r="C89" t="s">
        <v>535</v>
      </c>
      <c r="D89" t="s">
        <v>10</v>
      </c>
      <c r="E89" t="s">
        <v>536</v>
      </c>
      <c r="F89" t="s">
        <v>537</v>
      </c>
      <c r="G89" t="s">
        <v>120</v>
      </c>
      <c r="H89" t="s">
        <v>141</v>
      </c>
      <c r="I89" t="s">
        <v>276</v>
      </c>
    </row>
    <row r="90" spans="1:9">
      <c r="A90">
        <v>69</v>
      </c>
      <c r="B90" t="s">
        <v>538</v>
      </c>
      <c r="C90" t="s">
        <v>539</v>
      </c>
      <c r="D90" t="s">
        <v>10</v>
      </c>
      <c r="E90" t="s">
        <v>539</v>
      </c>
      <c r="F90" t="s">
        <v>538</v>
      </c>
      <c r="G90" t="s">
        <v>120</v>
      </c>
      <c r="H90" t="s">
        <v>141</v>
      </c>
      <c r="I90" t="s">
        <v>276</v>
      </c>
    </row>
    <row r="91" spans="1:9">
      <c r="A91">
        <v>123</v>
      </c>
      <c r="B91" t="s">
        <v>540</v>
      </c>
      <c r="C91" t="s">
        <v>541</v>
      </c>
      <c r="D91" t="s">
        <v>10</v>
      </c>
      <c r="E91" t="s">
        <v>542</v>
      </c>
      <c r="F91" t="s">
        <v>543</v>
      </c>
      <c r="G91" t="s">
        <v>120</v>
      </c>
      <c r="H91" t="s">
        <v>141</v>
      </c>
      <c r="I91" t="s">
        <v>276</v>
      </c>
    </row>
    <row r="92" spans="1:9">
      <c r="A92">
        <v>70</v>
      </c>
      <c r="B92" t="s">
        <v>139</v>
      </c>
      <c r="C92" t="s">
        <v>140</v>
      </c>
      <c r="D92" t="s">
        <v>10</v>
      </c>
      <c r="E92" t="s">
        <v>140</v>
      </c>
      <c r="F92" t="s">
        <v>139</v>
      </c>
      <c r="G92" t="s">
        <v>120</v>
      </c>
      <c r="H92" t="s">
        <v>141</v>
      </c>
      <c r="I92" t="s">
        <v>107</v>
      </c>
    </row>
    <row r="93" spans="1:9">
      <c r="A93">
        <v>134</v>
      </c>
      <c r="B93" t="s">
        <v>544</v>
      </c>
      <c r="C93" t="s">
        <v>545</v>
      </c>
      <c r="D93" t="s">
        <v>10</v>
      </c>
      <c r="E93" t="s">
        <v>545</v>
      </c>
      <c r="F93" t="s">
        <v>546</v>
      </c>
      <c r="G93" t="s">
        <v>120</v>
      </c>
      <c r="H93" t="s">
        <v>141</v>
      </c>
      <c r="I93" t="s">
        <v>276</v>
      </c>
    </row>
    <row r="94" spans="1:9">
      <c r="A94">
        <v>77</v>
      </c>
      <c r="B94" t="s">
        <v>547</v>
      </c>
      <c r="C94" t="s">
        <v>548</v>
      </c>
      <c r="D94" t="s">
        <v>10</v>
      </c>
      <c r="E94" t="s">
        <v>549</v>
      </c>
      <c r="F94" t="s">
        <v>550</v>
      </c>
      <c r="G94" t="s">
        <v>120</v>
      </c>
      <c r="H94" t="s">
        <v>141</v>
      </c>
      <c r="I94" t="s">
        <v>276</v>
      </c>
    </row>
    <row r="95" spans="1:9">
      <c r="A95">
        <v>67</v>
      </c>
      <c r="B95" t="s">
        <v>551</v>
      </c>
      <c r="C95" t="s">
        <v>552</v>
      </c>
      <c r="D95" t="s">
        <v>10</v>
      </c>
      <c r="E95" t="s">
        <v>553</v>
      </c>
      <c r="F95" t="s">
        <v>554</v>
      </c>
      <c r="G95" t="s">
        <v>120</v>
      </c>
      <c r="H95" t="s">
        <v>141</v>
      </c>
      <c r="I95" t="s">
        <v>276</v>
      </c>
    </row>
    <row r="96" spans="1:9">
      <c r="A96">
        <v>71</v>
      </c>
      <c r="B96" t="s">
        <v>555</v>
      </c>
      <c r="C96" t="s">
        <v>556</v>
      </c>
      <c r="D96" t="s">
        <v>10</v>
      </c>
      <c r="E96" t="s">
        <v>556</v>
      </c>
      <c r="F96" t="s">
        <v>557</v>
      </c>
      <c r="G96" t="s">
        <v>120</v>
      </c>
      <c r="H96" t="s">
        <v>141</v>
      </c>
      <c r="I96" t="s">
        <v>276</v>
      </c>
    </row>
    <row r="97" spans="1:9">
      <c r="A97">
        <v>64</v>
      </c>
      <c r="B97" t="s">
        <v>558</v>
      </c>
      <c r="C97" t="s">
        <v>559</v>
      </c>
      <c r="D97" t="s">
        <v>10</v>
      </c>
      <c r="E97" t="s">
        <v>559</v>
      </c>
      <c r="F97" t="s">
        <v>560</v>
      </c>
      <c r="G97" t="s">
        <v>120</v>
      </c>
      <c r="H97" t="s">
        <v>141</v>
      </c>
      <c r="I97" t="s">
        <v>276</v>
      </c>
    </row>
    <row r="98" spans="1:9">
      <c r="A98">
        <v>66</v>
      </c>
      <c r="B98" t="s">
        <v>561</v>
      </c>
      <c r="C98" t="s">
        <v>562</v>
      </c>
      <c r="D98" t="s">
        <v>10</v>
      </c>
      <c r="E98" t="s">
        <v>563</v>
      </c>
      <c r="F98" t="s">
        <v>561</v>
      </c>
      <c r="G98" t="s">
        <v>120</v>
      </c>
      <c r="H98" t="s">
        <v>141</v>
      </c>
      <c r="I98" t="s">
        <v>276</v>
      </c>
    </row>
    <row r="99" spans="1:9">
      <c r="A99">
        <v>216</v>
      </c>
      <c r="B99" t="s">
        <v>564</v>
      </c>
      <c r="C99" t="s">
        <v>565</v>
      </c>
      <c r="D99" t="s">
        <v>10</v>
      </c>
      <c r="E99" t="s">
        <v>565</v>
      </c>
      <c r="F99" t="s">
        <v>566</v>
      </c>
      <c r="G99" t="s">
        <v>120</v>
      </c>
      <c r="H99" t="s">
        <v>144</v>
      </c>
      <c r="I99" t="s">
        <v>276</v>
      </c>
    </row>
    <row r="100" spans="1:9">
      <c r="A100">
        <v>211</v>
      </c>
      <c r="B100" t="s">
        <v>567</v>
      </c>
      <c r="C100" t="s">
        <v>568</v>
      </c>
      <c r="D100" t="s">
        <v>10</v>
      </c>
      <c r="E100" t="s">
        <v>568</v>
      </c>
      <c r="F100" t="s">
        <v>569</v>
      </c>
      <c r="G100" t="s">
        <v>120</v>
      </c>
      <c r="H100" t="s">
        <v>144</v>
      </c>
      <c r="I100" t="s">
        <v>276</v>
      </c>
    </row>
    <row r="101" spans="1:9">
      <c r="A101">
        <v>227</v>
      </c>
      <c r="B101" t="s">
        <v>570</v>
      </c>
      <c r="C101" t="s">
        <v>571</v>
      </c>
      <c r="D101" t="s">
        <v>10</v>
      </c>
      <c r="E101" t="s">
        <v>571</v>
      </c>
      <c r="F101" t="s">
        <v>572</v>
      </c>
      <c r="G101" t="s">
        <v>120</v>
      </c>
      <c r="H101" t="s">
        <v>144</v>
      </c>
      <c r="I101" t="s">
        <v>276</v>
      </c>
    </row>
    <row r="102" spans="1:9">
      <c r="A102">
        <v>210</v>
      </c>
      <c r="B102" t="s">
        <v>142</v>
      </c>
      <c r="C102" t="s">
        <v>143</v>
      </c>
      <c r="D102" t="s">
        <v>10</v>
      </c>
      <c r="E102" t="s">
        <v>573</v>
      </c>
      <c r="F102" t="s">
        <v>574</v>
      </c>
      <c r="G102" t="s">
        <v>120</v>
      </c>
      <c r="H102" t="s">
        <v>144</v>
      </c>
      <c r="I102" t="s">
        <v>107</v>
      </c>
    </row>
    <row r="103" spans="1:9">
      <c r="A103">
        <v>265</v>
      </c>
      <c r="B103" t="s">
        <v>575</v>
      </c>
      <c r="C103" t="s">
        <v>576</v>
      </c>
      <c r="D103" t="s">
        <v>10</v>
      </c>
      <c r="E103" t="s">
        <v>576</v>
      </c>
      <c r="F103" t="s">
        <v>577</v>
      </c>
      <c r="G103" t="s">
        <v>120</v>
      </c>
      <c r="H103" t="s">
        <v>144</v>
      </c>
      <c r="I103" t="s">
        <v>276</v>
      </c>
    </row>
    <row r="104" spans="1:9">
      <c r="A104">
        <v>221</v>
      </c>
      <c r="B104" t="s">
        <v>578</v>
      </c>
      <c r="C104" t="s">
        <v>579</v>
      </c>
      <c r="D104" t="s">
        <v>10</v>
      </c>
      <c r="E104" t="s">
        <v>580</v>
      </c>
      <c r="F104" t="s">
        <v>581</v>
      </c>
      <c r="G104" t="s">
        <v>120</v>
      </c>
      <c r="H104" t="s">
        <v>144</v>
      </c>
      <c r="I104" t="s">
        <v>276</v>
      </c>
    </row>
    <row r="105" spans="1:9">
      <c r="A105">
        <v>220</v>
      </c>
      <c r="B105" t="s">
        <v>582</v>
      </c>
      <c r="C105" t="s">
        <v>583</v>
      </c>
      <c r="D105" t="s">
        <v>10</v>
      </c>
      <c r="E105" t="s">
        <v>584</v>
      </c>
      <c r="F105" t="s">
        <v>585</v>
      </c>
      <c r="G105" t="s">
        <v>120</v>
      </c>
      <c r="H105" t="s">
        <v>144</v>
      </c>
      <c r="I105" t="s">
        <v>276</v>
      </c>
    </row>
    <row r="106" spans="1:9">
      <c r="A106">
        <v>230</v>
      </c>
      <c r="B106" t="s">
        <v>586</v>
      </c>
      <c r="C106" t="s">
        <v>587</v>
      </c>
      <c r="D106" t="s">
        <v>10</v>
      </c>
      <c r="E106" t="s">
        <v>587</v>
      </c>
      <c r="F106" t="s">
        <v>588</v>
      </c>
      <c r="G106" t="s">
        <v>120</v>
      </c>
      <c r="H106" t="s">
        <v>144</v>
      </c>
      <c r="I106" t="s">
        <v>276</v>
      </c>
    </row>
    <row r="107" spans="1:9">
      <c r="A107">
        <v>266</v>
      </c>
      <c r="B107" t="s">
        <v>589</v>
      </c>
      <c r="C107" t="s">
        <v>590</v>
      </c>
      <c r="D107" t="s">
        <v>10</v>
      </c>
      <c r="E107" t="s">
        <v>590</v>
      </c>
      <c r="F107" t="s">
        <v>591</v>
      </c>
      <c r="G107" t="s">
        <v>148</v>
      </c>
      <c r="H107" t="s">
        <v>592</v>
      </c>
      <c r="I107" t="s">
        <v>276</v>
      </c>
    </row>
    <row r="108" spans="1:9">
      <c r="A108">
        <v>302</v>
      </c>
      <c r="B108" t="s">
        <v>593</v>
      </c>
      <c r="C108" t="s">
        <v>594</v>
      </c>
      <c r="D108" t="s">
        <v>10</v>
      </c>
      <c r="E108" t="s">
        <v>594</v>
      </c>
      <c r="F108" t="s">
        <v>595</v>
      </c>
      <c r="G108" t="s">
        <v>148</v>
      </c>
      <c r="H108" t="s">
        <v>592</v>
      </c>
      <c r="I108" t="s">
        <v>276</v>
      </c>
    </row>
    <row r="109" spans="1:9">
      <c r="A109">
        <v>268</v>
      </c>
      <c r="B109" t="s">
        <v>596</v>
      </c>
      <c r="C109" t="s">
        <v>597</v>
      </c>
      <c r="D109" t="s">
        <v>34</v>
      </c>
      <c r="E109" t="s">
        <v>598</v>
      </c>
      <c r="F109" t="s">
        <v>599</v>
      </c>
      <c r="G109" t="s">
        <v>148</v>
      </c>
      <c r="H109" t="s">
        <v>592</v>
      </c>
      <c r="I109" t="s">
        <v>276</v>
      </c>
    </row>
    <row r="110" spans="1:9">
      <c r="A110">
        <v>271</v>
      </c>
      <c r="B110" t="s">
        <v>600</v>
      </c>
      <c r="C110" t="s">
        <v>601</v>
      </c>
      <c r="D110" t="s">
        <v>10</v>
      </c>
      <c r="E110" t="s">
        <v>601</v>
      </c>
      <c r="F110" t="s">
        <v>602</v>
      </c>
      <c r="G110" t="s">
        <v>148</v>
      </c>
      <c r="H110" t="s">
        <v>592</v>
      </c>
      <c r="I110" t="s">
        <v>276</v>
      </c>
    </row>
    <row r="111" spans="1:9">
      <c r="A111">
        <v>269</v>
      </c>
      <c r="B111" t="s">
        <v>603</v>
      </c>
      <c r="C111" t="s">
        <v>604</v>
      </c>
      <c r="D111" t="s">
        <v>10</v>
      </c>
      <c r="E111" t="s">
        <v>604</v>
      </c>
      <c r="F111" t="s">
        <v>605</v>
      </c>
      <c r="G111" t="s">
        <v>148</v>
      </c>
      <c r="H111" t="s">
        <v>592</v>
      </c>
      <c r="I111" t="s">
        <v>276</v>
      </c>
    </row>
    <row r="112" spans="1:9">
      <c r="A112">
        <v>65</v>
      </c>
      <c r="B112" t="s">
        <v>145</v>
      </c>
      <c r="C112" t="s">
        <v>146</v>
      </c>
      <c r="D112" t="s">
        <v>10</v>
      </c>
      <c r="E112" t="s">
        <v>146</v>
      </c>
      <c r="F112" t="s">
        <v>606</v>
      </c>
      <c r="G112" t="s">
        <v>148</v>
      </c>
      <c r="H112" t="s">
        <v>592</v>
      </c>
      <c r="I112" t="s">
        <v>107</v>
      </c>
    </row>
    <row r="113" spans="1:9">
      <c r="A113">
        <v>274</v>
      </c>
      <c r="B113" t="s">
        <v>607</v>
      </c>
      <c r="C113" t="s">
        <v>608</v>
      </c>
      <c r="D113" t="s">
        <v>10</v>
      </c>
      <c r="E113" t="s">
        <v>608</v>
      </c>
      <c r="F113" t="s">
        <v>609</v>
      </c>
      <c r="G113" t="s">
        <v>148</v>
      </c>
      <c r="H113" t="s">
        <v>592</v>
      </c>
      <c r="I113" t="s">
        <v>276</v>
      </c>
    </row>
    <row r="114" spans="1:9">
      <c r="A114">
        <v>270</v>
      </c>
      <c r="B114" t="s">
        <v>610</v>
      </c>
      <c r="C114" t="s">
        <v>611</v>
      </c>
      <c r="D114" t="s">
        <v>10</v>
      </c>
      <c r="E114" t="s">
        <v>611</v>
      </c>
      <c r="F114" t="s">
        <v>612</v>
      </c>
      <c r="G114" t="s">
        <v>148</v>
      </c>
      <c r="H114" t="s">
        <v>592</v>
      </c>
      <c r="I114" t="s">
        <v>276</v>
      </c>
    </row>
    <row r="115" spans="1:9">
      <c r="A115">
        <v>267</v>
      </c>
      <c r="B115" t="s">
        <v>613</v>
      </c>
      <c r="C115" t="s">
        <v>614</v>
      </c>
      <c r="D115" t="s">
        <v>10</v>
      </c>
      <c r="E115" t="s">
        <v>615</v>
      </c>
      <c r="F115" t="s">
        <v>616</v>
      </c>
      <c r="G115" t="s">
        <v>148</v>
      </c>
      <c r="H115" t="s">
        <v>592</v>
      </c>
      <c r="I115" t="s">
        <v>276</v>
      </c>
    </row>
    <row r="116" spans="1:9">
      <c r="A116">
        <v>264</v>
      </c>
      <c r="B116" t="s">
        <v>617</v>
      </c>
      <c r="C116" t="s">
        <v>618</v>
      </c>
      <c r="D116" t="s">
        <v>10</v>
      </c>
      <c r="E116" t="s">
        <v>619</v>
      </c>
      <c r="F116" t="s">
        <v>620</v>
      </c>
      <c r="G116" t="s">
        <v>148</v>
      </c>
      <c r="H116" t="s">
        <v>592</v>
      </c>
      <c r="I116" t="s">
        <v>276</v>
      </c>
    </row>
    <row r="117" spans="1:9">
      <c r="A117">
        <v>263</v>
      </c>
      <c r="B117" t="s">
        <v>621</v>
      </c>
      <c r="C117" t="s">
        <v>622</v>
      </c>
      <c r="D117" t="s">
        <v>10</v>
      </c>
      <c r="E117" t="s">
        <v>623</v>
      </c>
      <c r="F117" t="s">
        <v>624</v>
      </c>
      <c r="G117" t="s">
        <v>148</v>
      </c>
      <c r="H117" t="s">
        <v>151</v>
      </c>
      <c r="I117" t="s">
        <v>276</v>
      </c>
    </row>
    <row r="118" spans="1:9">
      <c r="A118">
        <v>100</v>
      </c>
      <c r="B118" t="s">
        <v>625</v>
      </c>
      <c r="C118" t="s">
        <v>626</v>
      </c>
      <c r="D118" t="s">
        <v>10</v>
      </c>
      <c r="E118" t="s">
        <v>627</v>
      </c>
      <c r="F118" t="s">
        <v>628</v>
      </c>
      <c r="G118" t="s">
        <v>148</v>
      </c>
      <c r="H118" t="s">
        <v>151</v>
      </c>
      <c r="I118" t="s">
        <v>276</v>
      </c>
    </row>
    <row r="119" spans="1:9">
      <c r="A119">
        <v>296</v>
      </c>
      <c r="B119" t="s">
        <v>271</v>
      </c>
      <c r="C119" t="s">
        <v>272</v>
      </c>
      <c r="D119" t="s">
        <v>10</v>
      </c>
      <c r="E119" t="s">
        <v>629</v>
      </c>
      <c r="F119" t="s">
        <v>274</v>
      </c>
      <c r="G119" t="s">
        <v>148</v>
      </c>
      <c r="H119" t="s">
        <v>151</v>
      </c>
      <c r="I119" t="s">
        <v>276</v>
      </c>
    </row>
    <row r="120" spans="1:9">
      <c r="A120">
        <v>101</v>
      </c>
      <c r="B120" t="s">
        <v>630</v>
      </c>
      <c r="C120" t="s">
        <v>631</v>
      </c>
      <c r="D120" t="s">
        <v>10</v>
      </c>
      <c r="E120" t="s">
        <v>631</v>
      </c>
      <c r="F120" t="s">
        <v>632</v>
      </c>
      <c r="G120" t="s">
        <v>148</v>
      </c>
      <c r="H120" t="s">
        <v>151</v>
      </c>
      <c r="I120" t="s">
        <v>276</v>
      </c>
    </row>
    <row r="121" spans="1:9">
      <c r="A121">
        <v>110</v>
      </c>
      <c r="B121" t="s">
        <v>633</v>
      </c>
      <c r="C121" t="s">
        <v>634</v>
      </c>
      <c r="D121" t="s">
        <v>10</v>
      </c>
      <c r="E121" t="s">
        <v>635</v>
      </c>
      <c r="F121" t="s">
        <v>636</v>
      </c>
      <c r="G121" t="s">
        <v>148</v>
      </c>
      <c r="H121" t="s">
        <v>151</v>
      </c>
      <c r="I121" t="s">
        <v>276</v>
      </c>
    </row>
    <row r="122" spans="1:9">
      <c r="A122">
        <v>98</v>
      </c>
      <c r="B122" t="s">
        <v>637</v>
      </c>
      <c r="C122" t="s">
        <v>638</v>
      </c>
      <c r="D122" t="s">
        <v>10</v>
      </c>
      <c r="E122" t="s">
        <v>638</v>
      </c>
      <c r="F122" t="s">
        <v>637</v>
      </c>
      <c r="G122" t="s">
        <v>148</v>
      </c>
      <c r="H122" t="s">
        <v>151</v>
      </c>
      <c r="I122" t="s">
        <v>276</v>
      </c>
    </row>
    <row r="123" spans="1:9">
      <c r="A123">
        <v>97</v>
      </c>
      <c r="B123" t="s">
        <v>149</v>
      </c>
      <c r="C123" t="s">
        <v>150</v>
      </c>
      <c r="D123" t="s">
        <v>10</v>
      </c>
      <c r="E123" t="s">
        <v>150</v>
      </c>
      <c r="F123" t="s">
        <v>639</v>
      </c>
      <c r="G123" t="s">
        <v>148</v>
      </c>
      <c r="H123" t="s">
        <v>151</v>
      </c>
      <c r="I123" t="s">
        <v>107</v>
      </c>
    </row>
    <row r="124" spans="1:9">
      <c r="A124">
        <v>109</v>
      </c>
      <c r="B124" t="s">
        <v>640</v>
      </c>
      <c r="C124" t="s">
        <v>641</v>
      </c>
      <c r="D124" t="s">
        <v>10</v>
      </c>
      <c r="E124" t="s">
        <v>642</v>
      </c>
      <c r="F124" t="s">
        <v>640</v>
      </c>
      <c r="G124" t="s">
        <v>148</v>
      </c>
      <c r="H124" t="s">
        <v>151</v>
      </c>
      <c r="I124" t="s">
        <v>276</v>
      </c>
    </row>
    <row r="125" spans="1:9">
      <c r="A125">
        <v>105</v>
      </c>
      <c r="B125" t="s">
        <v>643</v>
      </c>
      <c r="C125" t="s">
        <v>644</v>
      </c>
      <c r="D125" t="s">
        <v>34</v>
      </c>
      <c r="E125" t="s">
        <v>644</v>
      </c>
      <c r="F125" t="s">
        <v>645</v>
      </c>
      <c r="G125" t="s">
        <v>148</v>
      </c>
      <c r="H125" t="s">
        <v>151</v>
      </c>
      <c r="I125" t="s">
        <v>276</v>
      </c>
    </row>
    <row r="126" spans="1:9">
      <c r="A126">
        <v>106</v>
      </c>
      <c r="B126" t="s">
        <v>646</v>
      </c>
      <c r="C126" t="s">
        <v>647</v>
      </c>
      <c r="D126" t="s">
        <v>10</v>
      </c>
      <c r="E126" t="s">
        <v>647</v>
      </c>
      <c r="F126" t="s">
        <v>648</v>
      </c>
      <c r="G126" t="s">
        <v>148</v>
      </c>
      <c r="H126" t="s">
        <v>151</v>
      </c>
      <c r="I126" t="s">
        <v>276</v>
      </c>
    </row>
    <row r="127" spans="1:9">
      <c r="A127">
        <v>111</v>
      </c>
      <c r="B127" t="s">
        <v>649</v>
      </c>
      <c r="C127" t="s">
        <v>650</v>
      </c>
      <c r="D127" t="s">
        <v>10</v>
      </c>
      <c r="E127" t="s">
        <v>650</v>
      </c>
      <c r="F127" t="s">
        <v>651</v>
      </c>
      <c r="G127" t="s">
        <v>148</v>
      </c>
      <c r="H127" t="s">
        <v>151</v>
      </c>
      <c r="I127" t="s">
        <v>276</v>
      </c>
    </row>
    <row r="128" spans="1:9">
      <c r="A128">
        <v>143</v>
      </c>
      <c r="B128" t="s">
        <v>652</v>
      </c>
      <c r="C128" t="s">
        <v>653</v>
      </c>
      <c r="D128" t="s">
        <v>10</v>
      </c>
      <c r="E128" t="s">
        <v>654</v>
      </c>
      <c r="F128" t="s">
        <v>655</v>
      </c>
      <c r="G128" t="s">
        <v>148</v>
      </c>
      <c r="H128" t="s">
        <v>151</v>
      </c>
      <c r="I128" t="s">
        <v>276</v>
      </c>
    </row>
    <row r="129" spans="1:9">
      <c r="A129">
        <v>108</v>
      </c>
      <c r="B129" t="s">
        <v>656</v>
      </c>
      <c r="C129" t="s">
        <v>657</v>
      </c>
      <c r="D129" t="s">
        <v>10</v>
      </c>
      <c r="E129" t="s">
        <v>657</v>
      </c>
      <c r="F129" t="s">
        <v>658</v>
      </c>
      <c r="G129" t="s">
        <v>148</v>
      </c>
      <c r="H129" t="s">
        <v>151</v>
      </c>
      <c r="I129" t="s">
        <v>276</v>
      </c>
    </row>
    <row r="130" spans="1:9">
      <c r="A130">
        <v>255</v>
      </c>
      <c r="B130" t="s">
        <v>659</v>
      </c>
      <c r="C130" t="s">
        <v>660</v>
      </c>
      <c r="D130" t="s">
        <v>10</v>
      </c>
      <c r="E130" t="s">
        <v>661</v>
      </c>
      <c r="F130" t="s">
        <v>662</v>
      </c>
      <c r="G130" t="s">
        <v>148</v>
      </c>
      <c r="H130" t="s">
        <v>151</v>
      </c>
      <c r="I130" t="s">
        <v>276</v>
      </c>
    </row>
    <row r="131" spans="1:9">
      <c r="A131">
        <v>144</v>
      </c>
      <c r="B131" t="s">
        <v>663</v>
      </c>
      <c r="C131" t="s">
        <v>664</v>
      </c>
      <c r="D131" t="s">
        <v>10</v>
      </c>
      <c r="E131" t="s">
        <v>664</v>
      </c>
      <c r="F131" t="s">
        <v>665</v>
      </c>
      <c r="G131" t="s">
        <v>148</v>
      </c>
      <c r="H131" t="s">
        <v>151</v>
      </c>
      <c r="I131" t="s">
        <v>276</v>
      </c>
    </row>
    <row r="132" spans="1:9">
      <c r="A132">
        <v>107</v>
      </c>
      <c r="B132" t="s">
        <v>666</v>
      </c>
      <c r="C132" t="s">
        <v>667</v>
      </c>
      <c r="D132" t="s">
        <v>34</v>
      </c>
      <c r="E132" t="s">
        <v>667</v>
      </c>
      <c r="F132" t="s">
        <v>668</v>
      </c>
      <c r="G132" t="s">
        <v>148</v>
      </c>
      <c r="H132" t="s">
        <v>151</v>
      </c>
      <c r="I132" t="s">
        <v>276</v>
      </c>
    </row>
    <row r="133" spans="1:9">
      <c r="A133">
        <v>99</v>
      </c>
      <c r="B133" t="s">
        <v>669</v>
      </c>
      <c r="C133" t="s">
        <v>670</v>
      </c>
      <c r="D133" t="s">
        <v>34</v>
      </c>
      <c r="E133" t="s">
        <v>670</v>
      </c>
      <c r="F133" t="s">
        <v>671</v>
      </c>
      <c r="G133" t="s">
        <v>148</v>
      </c>
      <c r="H133" t="s">
        <v>151</v>
      </c>
      <c r="I133" t="s">
        <v>276</v>
      </c>
    </row>
    <row r="134" spans="1:9">
      <c r="A134">
        <v>294</v>
      </c>
      <c r="B134" t="s">
        <v>672</v>
      </c>
      <c r="C134" t="s">
        <v>673</v>
      </c>
      <c r="D134" t="s">
        <v>674</v>
      </c>
      <c r="E134" t="s">
        <v>675</v>
      </c>
      <c r="F134" t="s">
        <v>672</v>
      </c>
      <c r="G134" t="s">
        <v>148</v>
      </c>
      <c r="H134" t="s">
        <v>151</v>
      </c>
      <c r="I134" t="s">
        <v>276</v>
      </c>
    </row>
    <row r="135" spans="1:9">
      <c r="A135">
        <v>145</v>
      </c>
      <c r="B135" t="s">
        <v>676</v>
      </c>
      <c r="C135" t="s">
        <v>677</v>
      </c>
      <c r="D135" t="s">
        <v>10</v>
      </c>
      <c r="E135" t="s">
        <v>677</v>
      </c>
      <c r="F135" t="s">
        <v>678</v>
      </c>
      <c r="G135" t="s">
        <v>148</v>
      </c>
      <c r="H135" t="s">
        <v>151</v>
      </c>
      <c r="I135" t="s">
        <v>276</v>
      </c>
    </row>
    <row r="136" spans="1:9">
      <c r="A136">
        <v>309</v>
      </c>
      <c r="B136" t="s">
        <v>679</v>
      </c>
      <c r="C136" t="s">
        <v>680</v>
      </c>
      <c r="D136" t="s">
        <v>10</v>
      </c>
      <c r="E136" t="s">
        <v>680</v>
      </c>
      <c r="F136" t="s">
        <v>681</v>
      </c>
      <c r="G136" t="s">
        <v>148</v>
      </c>
      <c r="H136" t="s">
        <v>151</v>
      </c>
      <c r="I136" t="s">
        <v>276</v>
      </c>
    </row>
    <row r="137" spans="1:9">
      <c r="A137">
        <v>149</v>
      </c>
      <c r="B137" t="s">
        <v>682</v>
      </c>
      <c r="C137" t="s">
        <v>683</v>
      </c>
      <c r="D137" t="s">
        <v>10</v>
      </c>
      <c r="E137" t="s">
        <v>684</v>
      </c>
      <c r="F137" t="s">
        <v>682</v>
      </c>
      <c r="G137" t="s">
        <v>148</v>
      </c>
      <c r="H137" t="s">
        <v>160</v>
      </c>
      <c r="I137" t="s">
        <v>276</v>
      </c>
    </row>
    <row r="138" spans="1:9">
      <c r="A138">
        <v>311</v>
      </c>
      <c r="B138" t="s">
        <v>158</v>
      </c>
      <c r="C138" t="s">
        <v>159</v>
      </c>
      <c r="D138" t="s">
        <v>10</v>
      </c>
      <c r="E138" t="s">
        <v>685</v>
      </c>
      <c r="F138" t="s">
        <v>158</v>
      </c>
      <c r="G138" t="s">
        <v>148</v>
      </c>
      <c r="H138" t="s">
        <v>160</v>
      </c>
      <c r="I138" t="s">
        <v>107</v>
      </c>
    </row>
    <row r="139" spans="1:9">
      <c r="A139">
        <v>147</v>
      </c>
      <c r="B139" t="s">
        <v>228</v>
      </c>
      <c r="C139" t="s">
        <v>229</v>
      </c>
      <c r="D139" t="s">
        <v>10</v>
      </c>
      <c r="E139" t="s">
        <v>229</v>
      </c>
      <c r="F139" t="s">
        <v>228</v>
      </c>
      <c r="G139" t="s">
        <v>148</v>
      </c>
      <c r="H139" t="s">
        <v>160</v>
      </c>
      <c r="I139" t="s">
        <v>107</v>
      </c>
    </row>
    <row r="140" spans="1:9">
      <c r="A140">
        <v>150</v>
      </c>
      <c r="B140" t="s">
        <v>686</v>
      </c>
      <c r="C140" t="s">
        <v>687</v>
      </c>
      <c r="D140" t="s">
        <v>10</v>
      </c>
      <c r="E140" t="s">
        <v>687</v>
      </c>
      <c r="F140" t="s">
        <v>688</v>
      </c>
      <c r="G140" t="s">
        <v>148</v>
      </c>
      <c r="H140" t="s">
        <v>160</v>
      </c>
      <c r="I140" t="s">
        <v>276</v>
      </c>
    </row>
    <row r="141" spans="1:9">
      <c r="A141">
        <v>148</v>
      </c>
      <c r="B141" t="s">
        <v>689</v>
      </c>
      <c r="C141" t="s">
        <v>690</v>
      </c>
      <c r="D141" t="s">
        <v>10</v>
      </c>
      <c r="E141" t="s">
        <v>690</v>
      </c>
      <c r="F141" t="s">
        <v>691</v>
      </c>
      <c r="G141" t="s">
        <v>148</v>
      </c>
      <c r="H141" t="s">
        <v>160</v>
      </c>
      <c r="I141" t="s">
        <v>276</v>
      </c>
    </row>
    <row r="142" spans="1:9">
      <c r="A142">
        <v>136</v>
      </c>
      <c r="B142" t="s">
        <v>8</v>
      </c>
      <c r="C142" t="s">
        <v>9</v>
      </c>
      <c r="D142" t="s">
        <v>10</v>
      </c>
      <c r="E142" t="s">
        <v>692</v>
      </c>
      <c r="F142" t="s">
        <v>12</v>
      </c>
      <c r="G142" t="s">
        <v>148</v>
      </c>
      <c r="H142" t="s">
        <v>163</v>
      </c>
      <c r="I142" t="s">
        <v>107</v>
      </c>
    </row>
    <row r="143" spans="1:9">
      <c r="A143">
        <v>161</v>
      </c>
      <c r="B143" t="s">
        <v>161</v>
      </c>
      <c r="C143" t="s">
        <v>162</v>
      </c>
      <c r="D143" t="s">
        <v>10</v>
      </c>
      <c r="E143" t="s">
        <v>162</v>
      </c>
      <c r="F143" t="s">
        <v>693</v>
      </c>
      <c r="G143" t="s">
        <v>148</v>
      </c>
      <c r="H143" t="s">
        <v>163</v>
      </c>
      <c r="I143" t="s">
        <v>107</v>
      </c>
    </row>
    <row r="144" spans="1:9">
      <c r="A144">
        <v>75</v>
      </c>
      <c r="B144" t="s">
        <v>694</v>
      </c>
      <c r="C144" t="s">
        <v>695</v>
      </c>
      <c r="D144" t="s">
        <v>10</v>
      </c>
      <c r="E144" t="s">
        <v>695</v>
      </c>
      <c r="F144" t="s">
        <v>696</v>
      </c>
      <c r="G144" t="s">
        <v>148</v>
      </c>
      <c r="H144" t="s">
        <v>163</v>
      </c>
      <c r="I144" t="s">
        <v>276</v>
      </c>
    </row>
    <row r="145" spans="1:9">
      <c r="A145">
        <v>6</v>
      </c>
      <c r="B145" t="s">
        <v>697</v>
      </c>
      <c r="C145" t="s">
        <v>698</v>
      </c>
      <c r="D145" t="s">
        <v>10</v>
      </c>
      <c r="E145" t="s">
        <v>698</v>
      </c>
      <c r="F145" t="s">
        <v>699</v>
      </c>
      <c r="G145" t="s">
        <v>148</v>
      </c>
      <c r="H145" t="s">
        <v>163</v>
      </c>
      <c r="I145" t="s">
        <v>276</v>
      </c>
    </row>
    <row r="146" spans="1:9">
      <c r="A146">
        <v>81</v>
      </c>
      <c r="B146" t="s">
        <v>700</v>
      </c>
      <c r="C146" t="s">
        <v>701</v>
      </c>
      <c r="D146" t="s">
        <v>10</v>
      </c>
      <c r="E146" t="s">
        <v>702</v>
      </c>
      <c r="F146" t="s">
        <v>700</v>
      </c>
      <c r="G146" t="s">
        <v>148</v>
      </c>
      <c r="H146" t="s">
        <v>163</v>
      </c>
      <c r="I146" t="s">
        <v>276</v>
      </c>
    </row>
    <row r="147" spans="1:9">
      <c r="A147">
        <v>4</v>
      </c>
      <c r="B147" t="s">
        <v>703</v>
      </c>
      <c r="C147" t="s">
        <v>704</v>
      </c>
      <c r="D147" t="s">
        <v>10</v>
      </c>
      <c r="E147" t="s">
        <v>705</v>
      </c>
      <c r="F147" t="s">
        <v>703</v>
      </c>
      <c r="G147" t="s">
        <v>148</v>
      </c>
      <c r="H147" t="s">
        <v>163</v>
      </c>
      <c r="I147" t="s">
        <v>276</v>
      </c>
    </row>
    <row r="148" spans="1:9">
      <c r="A148">
        <v>297</v>
      </c>
      <c r="B148" t="s">
        <v>164</v>
      </c>
      <c r="C148" t="s">
        <v>165</v>
      </c>
      <c r="D148" t="s">
        <v>10</v>
      </c>
      <c r="E148" t="s">
        <v>706</v>
      </c>
      <c r="F148" t="s">
        <v>707</v>
      </c>
      <c r="G148" t="s">
        <v>148</v>
      </c>
      <c r="H148" t="s">
        <v>166</v>
      </c>
      <c r="I148" t="s">
        <v>107</v>
      </c>
    </row>
    <row r="149" spans="1:9">
      <c r="A149">
        <v>7</v>
      </c>
      <c r="B149" t="s">
        <v>708</v>
      </c>
      <c r="C149" t="s">
        <v>709</v>
      </c>
      <c r="D149" t="s">
        <v>10</v>
      </c>
      <c r="E149" t="s">
        <v>710</v>
      </c>
      <c r="F149" t="s">
        <v>711</v>
      </c>
      <c r="G149" t="s">
        <v>148</v>
      </c>
      <c r="H149" t="s">
        <v>698</v>
      </c>
      <c r="I149" t="s">
        <v>276</v>
      </c>
    </row>
    <row r="150" spans="1:9">
      <c r="A150">
        <v>175</v>
      </c>
      <c r="B150" t="s">
        <v>712</v>
      </c>
      <c r="C150" t="s">
        <v>713</v>
      </c>
      <c r="D150" t="s">
        <v>10</v>
      </c>
      <c r="E150" t="s">
        <v>713</v>
      </c>
      <c r="F150" t="s">
        <v>714</v>
      </c>
      <c r="G150" t="s">
        <v>148</v>
      </c>
      <c r="H150" t="s">
        <v>169</v>
      </c>
      <c r="I150" t="s">
        <v>276</v>
      </c>
    </row>
    <row r="151" spans="1:9">
      <c r="A151">
        <v>160</v>
      </c>
      <c r="B151" t="s">
        <v>715</v>
      </c>
      <c r="C151" t="s">
        <v>716</v>
      </c>
      <c r="D151" t="s">
        <v>10</v>
      </c>
      <c r="E151" t="s">
        <v>716</v>
      </c>
      <c r="F151" t="s">
        <v>717</v>
      </c>
      <c r="G151" t="s">
        <v>148</v>
      </c>
      <c r="H151" t="s">
        <v>169</v>
      </c>
      <c r="I151" t="s">
        <v>276</v>
      </c>
    </row>
    <row r="152" spans="1:9">
      <c r="A152">
        <v>155</v>
      </c>
      <c r="B152" t="s">
        <v>718</v>
      </c>
      <c r="C152" t="s">
        <v>719</v>
      </c>
      <c r="D152" t="s">
        <v>10</v>
      </c>
      <c r="E152" t="s">
        <v>720</v>
      </c>
      <c r="F152" t="s">
        <v>721</v>
      </c>
      <c r="G152" t="s">
        <v>148</v>
      </c>
      <c r="H152" t="s">
        <v>169</v>
      </c>
      <c r="I152" t="s">
        <v>276</v>
      </c>
    </row>
    <row r="153" spans="1:9">
      <c r="A153">
        <v>170</v>
      </c>
      <c r="B153" t="s">
        <v>722</v>
      </c>
      <c r="C153" t="s">
        <v>723</v>
      </c>
      <c r="D153" t="s">
        <v>10</v>
      </c>
      <c r="E153" t="s">
        <v>724</v>
      </c>
      <c r="F153" t="s">
        <v>725</v>
      </c>
      <c r="G153" t="s">
        <v>148</v>
      </c>
      <c r="H153" t="s">
        <v>169</v>
      </c>
      <c r="I153" t="s">
        <v>276</v>
      </c>
    </row>
    <row r="154" spans="1:9">
      <c r="A154">
        <v>156</v>
      </c>
      <c r="B154" t="s">
        <v>726</v>
      </c>
      <c r="C154" t="s">
        <v>727</v>
      </c>
      <c r="D154" t="s">
        <v>10</v>
      </c>
      <c r="E154" t="s">
        <v>727</v>
      </c>
      <c r="F154" t="s">
        <v>726</v>
      </c>
      <c r="G154" t="s">
        <v>148</v>
      </c>
      <c r="H154" t="s">
        <v>169</v>
      </c>
      <c r="I154" t="s">
        <v>276</v>
      </c>
    </row>
    <row r="155" spans="1:9">
      <c r="A155">
        <v>180</v>
      </c>
      <c r="B155" t="s">
        <v>728</v>
      </c>
      <c r="C155" t="s">
        <v>729</v>
      </c>
      <c r="D155" t="s">
        <v>10</v>
      </c>
      <c r="E155" t="s">
        <v>729</v>
      </c>
      <c r="F155" t="s">
        <v>730</v>
      </c>
      <c r="G155" t="s">
        <v>148</v>
      </c>
      <c r="H155" t="s">
        <v>169</v>
      </c>
      <c r="I155" t="s">
        <v>276</v>
      </c>
    </row>
    <row r="156" spans="1:9">
      <c r="A156">
        <v>172</v>
      </c>
      <c r="B156" t="s">
        <v>167</v>
      </c>
      <c r="C156" t="s">
        <v>168</v>
      </c>
      <c r="D156" t="s">
        <v>10</v>
      </c>
      <c r="E156" t="s">
        <v>168</v>
      </c>
      <c r="F156" t="s">
        <v>167</v>
      </c>
      <c r="G156" t="s">
        <v>148</v>
      </c>
      <c r="H156" t="s">
        <v>169</v>
      </c>
      <c r="I156" t="s">
        <v>107</v>
      </c>
    </row>
    <row r="157" spans="1:9">
      <c r="A157">
        <v>154</v>
      </c>
      <c r="B157" t="s">
        <v>731</v>
      </c>
      <c r="C157" t="s">
        <v>732</v>
      </c>
      <c r="D157" t="s">
        <v>10</v>
      </c>
      <c r="E157" t="s">
        <v>733</v>
      </c>
      <c r="F157" t="s">
        <v>731</v>
      </c>
      <c r="G157" t="s">
        <v>148</v>
      </c>
      <c r="H157" t="s">
        <v>169</v>
      </c>
      <c r="I157" t="s">
        <v>276</v>
      </c>
    </row>
    <row r="158" spans="1:9">
      <c r="A158">
        <v>171</v>
      </c>
      <c r="B158" t="s">
        <v>734</v>
      </c>
      <c r="C158" t="s">
        <v>735</v>
      </c>
      <c r="D158" t="s">
        <v>10</v>
      </c>
      <c r="E158" t="s">
        <v>735</v>
      </c>
      <c r="F158" t="s">
        <v>734</v>
      </c>
      <c r="G158" t="s">
        <v>148</v>
      </c>
      <c r="H158" t="s">
        <v>169</v>
      </c>
      <c r="I158" t="s">
        <v>276</v>
      </c>
    </row>
    <row r="159" spans="1:9">
      <c r="A159">
        <v>288</v>
      </c>
      <c r="B159" t="s">
        <v>736</v>
      </c>
      <c r="C159" t="s">
        <v>737</v>
      </c>
      <c r="D159" t="s">
        <v>10</v>
      </c>
      <c r="E159" t="s">
        <v>738</v>
      </c>
      <c r="F159" t="s">
        <v>739</v>
      </c>
      <c r="G159" t="s">
        <v>148</v>
      </c>
      <c r="H159" t="s">
        <v>169</v>
      </c>
      <c r="I159" t="s">
        <v>276</v>
      </c>
    </row>
    <row r="160" spans="1:9">
      <c r="A160">
        <v>181</v>
      </c>
      <c r="B160" t="s">
        <v>740</v>
      </c>
      <c r="C160" t="s">
        <v>741</v>
      </c>
      <c r="D160" t="s">
        <v>10</v>
      </c>
      <c r="E160" t="s">
        <v>741</v>
      </c>
      <c r="F160" t="s">
        <v>742</v>
      </c>
      <c r="G160" t="s">
        <v>148</v>
      </c>
      <c r="H160" t="s">
        <v>169</v>
      </c>
      <c r="I160" t="s">
        <v>276</v>
      </c>
    </row>
    <row r="161" spans="1:9">
      <c r="A161">
        <v>273</v>
      </c>
      <c r="B161" t="s">
        <v>743</v>
      </c>
      <c r="C161" t="s">
        <v>744</v>
      </c>
      <c r="D161" t="s">
        <v>10</v>
      </c>
      <c r="E161" t="s">
        <v>745</v>
      </c>
      <c r="F161" t="s">
        <v>746</v>
      </c>
      <c r="G161" t="s">
        <v>148</v>
      </c>
      <c r="H161" t="s">
        <v>172</v>
      </c>
      <c r="I161" t="s">
        <v>276</v>
      </c>
    </row>
    <row r="162" spans="1:9">
      <c r="A162">
        <v>290</v>
      </c>
      <c r="B162" t="s">
        <v>747</v>
      </c>
      <c r="C162" t="s">
        <v>748</v>
      </c>
      <c r="D162" t="s">
        <v>10</v>
      </c>
      <c r="E162" t="s">
        <v>749</v>
      </c>
      <c r="F162" t="s">
        <v>750</v>
      </c>
      <c r="G162" t="s">
        <v>148</v>
      </c>
      <c r="H162" t="s">
        <v>172</v>
      </c>
      <c r="I162" t="s">
        <v>276</v>
      </c>
    </row>
    <row r="163" spans="1:9">
      <c r="A163">
        <v>292</v>
      </c>
      <c r="B163" t="s">
        <v>751</v>
      </c>
      <c r="C163" t="s">
        <v>752</v>
      </c>
      <c r="D163" t="s">
        <v>10</v>
      </c>
      <c r="E163" t="s">
        <v>753</v>
      </c>
      <c r="F163" t="s">
        <v>754</v>
      </c>
      <c r="G163" t="s">
        <v>148</v>
      </c>
      <c r="H163" t="s">
        <v>172</v>
      </c>
      <c r="I163" t="s">
        <v>276</v>
      </c>
    </row>
    <row r="164" spans="1:9">
      <c r="A164">
        <v>301</v>
      </c>
      <c r="B164" t="s">
        <v>755</v>
      </c>
      <c r="C164" t="s">
        <v>756</v>
      </c>
      <c r="D164" t="s">
        <v>10</v>
      </c>
      <c r="E164" t="s">
        <v>756</v>
      </c>
      <c r="F164" t="s">
        <v>757</v>
      </c>
      <c r="G164" t="s">
        <v>148</v>
      </c>
      <c r="H164" t="s">
        <v>172</v>
      </c>
      <c r="I164" t="s">
        <v>276</v>
      </c>
    </row>
    <row r="165" spans="1:9">
      <c r="A165">
        <v>293</v>
      </c>
      <c r="B165" t="s">
        <v>758</v>
      </c>
      <c r="C165" t="s">
        <v>759</v>
      </c>
      <c r="D165" t="s">
        <v>10</v>
      </c>
      <c r="E165" t="s">
        <v>759</v>
      </c>
      <c r="F165" t="s">
        <v>760</v>
      </c>
      <c r="G165" t="s">
        <v>148</v>
      </c>
      <c r="H165" t="s">
        <v>172</v>
      </c>
      <c r="I165" t="s">
        <v>276</v>
      </c>
    </row>
    <row r="166" spans="1:9">
      <c r="A166">
        <v>272</v>
      </c>
      <c r="B166" t="s">
        <v>170</v>
      </c>
      <c r="C166" t="s">
        <v>171</v>
      </c>
      <c r="D166" t="s">
        <v>10</v>
      </c>
      <c r="E166" t="s">
        <v>171</v>
      </c>
      <c r="F166" t="s">
        <v>170</v>
      </c>
      <c r="G166" t="s">
        <v>148</v>
      </c>
      <c r="H166" t="s">
        <v>172</v>
      </c>
      <c r="I166" t="s">
        <v>107</v>
      </c>
    </row>
    <row r="167" spans="1:9">
      <c r="A167">
        <v>277</v>
      </c>
      <c r="B167" t="s">
        <v>761</v>
      </c>
      <c r="C167" t="s">
        <v>762</v>
      </c>
      <c r="D167" t="s">
        <v>10</v>
      </c>
      <c r="E167" t="s">
        <v>762</v>
      </c>
      <c r="F167" t="s">
        <v>763</v>
      </c>
      <c r="G167" t="s">
        <v>148</v>
      </c>
      <c r="H167" t="s">
        <v>172</v>
      </c>
      <c r="I167" t="s">
        <v>276</v>
      </c>
    </row>
    <row r="168" spans="1:9">
      <c r="A168">
        <v>291</v>
      </c>
      <c r="B168" t="s">
        <v>211</v>
      </c>
      <c r="C168" t="s">
        <v>212</v>
      </c>
      <c r="D168" t="s">
        <v>10</v>
      </c>
      <c r="E168" t="s">
        <v>764</v>
      </c>
      <c r="F168" t="s">
        <v>765</v>
      </c>
      <c r="G168" t="s">
        <v>148</v>
      </c>
      <c r="H168" t="s">
        <v>172</v>
      </c>
      <c r="I168" t="s">
        <v>107</v>
      </c>
    </row>
    <row r="169" spans="1:9">
      <c r="A169">
        <v>281</v>
      </c>
      <c r="B169" t="s">
        <v>766</v>
      </c>
      <c r="C169" t="s">
        <v>767</v>
      </c>
      <c r="D169" t="s">
        <v>10</v>
      </c>
      <c r="E169" t="s">
        <v>768</v>
      </c>
      <c r="F169" t="s">
        <v>769</v>
      </c>
      <c r="G169" t="s">
        <v>148</v>
      </c>
      <c r="H169" t="s">
        <v>172</v>
      </c>
      <c r="I169" t="s">
        <v>276</v>
      </c>
    </row>
    <row r="170" spans="1:9">
      <c r="A170">
        <v>57</v>
      </c>
      <c r="B170" t="s">
        <v>770</v>
      </c>
      <c r="C170" t="s">
        <v>771</v>
      </c>
      <c r="D170" t="s">
        <v>10</v>
      </c>
      <c r="E170" t="s">
        <v>772</v>
      </c>
      <c r="F170" t="s">
        <v>773</v>
      </c>
      <c r="G170" t="s">
        <v>148</v>
      </c>
      <c r="H170" t="s">
        <v>175</v>
      </c>
      <c r="I170" t="s">
        <v>276</v>
      </c>
    </row>
    <row r="171" spans="1:9">
      <c r="A171">
        <v>39</v>
      </c>
      <c r="B171" t="s">
        <v>774</v>
      </c>
      <c r="C171" t="s">
        <v>775</v>
      </c>
      <c r="D171" t="s">
        <v>10</v>
      </c>
      <c r="E171" t="s">
        <v>775</v>
      </c>
      <c r="F171" t="s">
        <v>776</v>
      </c>
      <c r="G171" t="s">
        <v>148</v>
      </c>
      <c r="H171" t="s">
        <v>175</v>
      </c>
      <c r="I171" t="s">
        <v>276</v>
      </c>
    </row>
    <row r="172" spans="1:9">
      <c r="A172">
        <v>59</v>
      </c>
      <c r="B172" t="s">
        <v>777</v>
      </c>
      <c r="C172" t="s">
        <v>778</v>
      </c>
      <c r="D172" t="s">
        <v>10</v>
      </c>
      <c r="E172" t="s">
        <v>778</v>
      </c>
      <c r="F172" t="s">
        <v>779</v>
      </c>
      <c r="G172" t="s">
        <v>148</v>
      </c>
      <c r="H172" t="s">
        <v>175</v>
      </c>
      <c r="I172" t="s">
        <v>276</v>
      </c>
    </row>
    <row r="173" spans="1:9">
      <c r="A173">
        <v>56</v>
      </c>
      <c r="B173" t="s">
        <v>780</v>
      </c>
      <c r="C173" t="s">
        <v>781</v>
      </c>
      <c r="D173" t="s">
        <v>34</v>
      </c>
      <c r="E173" t="s">
        <v>781</v>
      </c>
      <c r="F173" t="s">
        <v>780</v>
      </c>
      <c r="G173" t="s">
        <v>148</v>
      </c>
      <c r="H173" t="s">
        <v>175</v>
      </c>
      <c r="I173" t="s">
        <v>276</v>
      </c>
    </row>
    <row r="174" spans="1:9">
      <c r="A174">
        <v>38</v>
      </c>
      <c r="B174" t="s">
        <v>782</v>
      </c>
      <c r="C174" t="s">
        <v>783</v>
      </c>
      <c r="D174" t="s">
        <v>10</v>
      </c>
      <c r="E174" t="s">
        <v>784</v>
      </c>
      <c r="F174" t="s">
        <v>785</v>
      </c>
      <c r="G174" t="s">
        <v>148</v>
      </c>
      <c r="H174" t="s">
        <v>175</v>
      </c>
      <c r="I174" t="s">
        <v>276</v>
      </c>
    </row>
    <row r="175" spans="1:9">
      <c r="A175">
        <v>58</v>
      </c>
      <c r="B175" t="s">
        <v>786</v>
      </c>
      <c r="C175" t="s">
        <v>787</v>
      </c>
      <c r="D175" t="s">
        <v>10</v>
      </c>
      <c r="E175" t="s">
        <v>787</v>
      </c>
      <c r="F175" t="s">
        <v>788</v>
      </c>
      <c r="G175" t="s">
        <v>148</v>
      </c>
      <c r="H175" t="s">
        <v>175</v>
      </c>
      <c r="I175" t="s">
        <v>276</v>
      </c>
    </row>
    <row r="176" spans="1:9">
      <c r="A176">
        <v>42</v>
      </c>
      <c r="B176" t="s">
        <v>789</v>
      </c>
      <c r="C176" t="s">
        <v>790</v>
      </c>
      <c r="D176" t="s">
        <v>10</v>
      </c>
      <c r="E176" t="s">
        <v>790</v>
      </c>
      <c r="F176" t="s">
        <v>789</v>
      </c>
      <c r="G176" t="s">
        <v>148</v>
      </c>
      <c r="H176" t="s">
        <v>175</v>
      </c>
      <c r="I176" t="s">
        <v>276</v>
      </c>
    </row>
    <row r="177" spans="1:9">
      <c r="A177">
        <v>37</v>
      </c>
      <c r="B177" t="s">
        <v>173</v>
      </c>
      <c r="C177" t="s">
        <v>174</v>
      </c>
      <c r="D177" t="s">
        <v>10</v>
      </c>
      <c r="E177" t="s">
        <v>791</v>
      </c>
      <c r="F177" t="s">
        <v>792</v>
      </c>
      <c r="G177" t="s">
        <v>148</v>
      </c>
      <c r="H177" t="s">
        <v>175</v>
      </c>
      <c r="I177" t="s">
        <v>107</v>
      </c>
    </row>
    <row r="178" spans="1:9">
      <c r="A178">
        <v>40</v>
      </c>
      <c r="B178" t="s">
        <v>793</v>
      </c>
      <c r="C178" t="s">
        <v>794</v>
      </c>
      <c r="D178" t="s">
        <v>10</v>
      </c>
      <c r="E178" t="s">
        <v>794</v>
      </c>
      <c r="F178" t="s">
        <v>795</v>
      </c>
      <c r="G178" t="s">
        <v>148</v>
      </c>
      <c r="H178" t="s">
        <v>175</v>
      </c>
      <c r="I178" t="s">
        <v>276</v>
      </c>
    </row>
    <row r="179" spans="1:9">
      <c r="A179">
        <v>44</v>
      </c>
      <c r="B179" t="s">
        <v>796</v>
      </c>
      <c r="C179" t="s">
        <v>797</v>
      </c>
      <c r="D179" t="s">
        <v>10</v>
      </c>
      <c r="E179" t="s">
        <v>797</v>
      </c>
      <c r="F179" t="s">
        <v>798</v>
      </c>
      <c r="G179" t="s">
        <v>148</v>
      </c>
      <c r="H179" t="s">
        <v>175</v>
      </c>
      <c r="I179" t="s">
        <v>276</v>
      </c>
    </row>
    <row r="180" spans="1:9">
      <c r="A180">
        <v>43</v>
      </c>
      <c r="B180" t="s">
        <v>799</v>
      </c>
      <c r="C180" t="s">
        <v>800</v>
      </c>
      <c r="D180" t="s">
        <v>10</v>
      </c>
      <c r="E180" t="s">
        <v>801</v>
      </c>
      <c r="F180" t="s">
        <v>802</v>
      </c>
      <c r="G180" t="s">
        <v>148</v>
      </c>
      <c r="H180" t="s">
        <v>175</v>
      </c>
      <c r="I180" t="s">
        <v>276</v>
      </c>
    </row>
    <row r="181" spans="1:9">
      <c r="A181">
        <v>41</v>
      </c>
      <c r="B181" t="s">
        <v>803</v>
      </c>
      <c r="C181" t="s">
        <v>804</v>
      </c>
      <c r="D181" t="s">
        <v>10</v>
      </c>
      <c r="E181" t="s">
        <v>805</v>
      </c>
      <c r="F181" t="s">
        <v>806</v>
      </c>
      <c r="G181" t="s">
        <v>148</v>
      </c>
      <c r="H181" t="s">
        <v>175</v>
      </c>
      <c r="I181" t="s">
        <v>276</v>
      </c>
    </row>
    <row r="182" spans="1:9">
      <c r="A182">
        <v>183</v>
      </c>
      <c r="B182" t="s">
        <v>223</v>
      </c>
      <c r="C182" t="s">
        <v>224</v>
      </c>
      <c r="D182" t="s">
        <v>10</v>
      </c>
      <c r="E182" t="s">
        <v>224</v>
      </c>
      <c r="F182" t="s">
        <v>807</v>
      </c>
      <c r="G182" t="s">
        <v>148</v>
      </c>
      <c r="H182" t="s">
        <v>181</v>
      </c>
      <c r="I182" t="s">
        <v>107</v>
      </c>
    </row>
    <row r="183" spans="1:9">
      <c r="A183">
        <v>165</v>
      </c>
      <c r="B183" t="s">
        <v>179</v>
      </c>
      <c r="C183" t="s">
        <v>180</v>
      </c>
      <c r="D183" t="s">
        <v>10</v>
      </c>
      <c r="E183" t="s">
        <v>180</v>
      </c>
      <c r="F183" t="s">
        <v>808</v>
      </c>
      <c r="G183" t="s">
        <v>148</v>
      </c>
      <c r="H183" t="s">
        <v>181</v>
      </c>
      <c r="I183" t="s">
        <v>107</v>
      </c>
    </row>
    <row r="184" spans="1:9">
      <c r="A184">
        <v>185</v>
      </c>
      <c r="B184" t="s">
        <v>809</v>
      </c>
      <c r="C184" t="s">
        <v>810</v>
      </c>
      <c r="D184" t="s">
        <v>10</v>
      </c>
      <c r="E184" t="s">
        <v>811</v>
      </c>
      <c r="F184" t="s">
        <v>812</v>
      </c>
      <c r="G184" t="s">
        <v>148</v>
      </c>
      <c r="H184" t="s">
        <v>181</v>
      </c>
      <c r="I184" t="s">
        <v>276</v>
      </c>
    </row>
    <row r="185" spans="1:9">
      <c r="A185">
        <v>164</v>
      </c>
      <c r="B185" t="s">
        <v>813</v>
      </c>
      <c r="C185" t="s">
        <v>814</v>
      </c>
      <c r="D185" t="s">
        <v>10</v>
      </c>
      <c r="E185" t="s">
        <v>814</v>
      </c>
      <c r="F185" t="s">
        <v>815</v>
      </c>
      <c r="G185" t="s">
        <v>148</v>
      </c>
      <c r="H185" t="s">
        <v>181</v>
      </c>
      <c r="I185" t="s">
        <v>276</v>
      </c>
    </row>
    <row r="186" spans="1:9">
      <c r="A186">
        <v>184</v>
      </c>
      <c r="B186" t="s">
        <v>816</v>
      </c>
      <c r="C186" t="s">
        <v>817</v>
      </c>
      <c r="D186" t="s">
        <v>674</v>
      </c>
      <c r="E186" t="s">
        <v>817</v>
      </c>
      <c r="F186" t="s">
        <v>818</v>
      </c>
      <c r="G186" t="s">
        <v>148</v>
      </c>
      <c r="H186" t="s">
        <v>181</v>
      </c>
      <c r="I186" t="s">
        <v>276</v>
      </c>
    </row>
    <row r="187" spans="1:9">
      <c r="A187">
        <v>153</v>
      </c>
      <c r="B187" t="s">
        <v>819</v>
      </c>
      <c r="C187" t="s">
        <v>820</v>
      </c>
      <c r="D187" t="s">
        <v>10</v>
      </c>
      <c r="E187" t="s">
        <v>820</v>
      </c>
      <c r="F187" t="s">
        <v>821</v>
      </c>
      <c r="G187" t="s">
        <v>148</v>
      </c>
      <c r="H187" t="s">
        <v>181</v>
      </c>
      <c r="I187" t="s">
        <v>276</v>
      </c>
    </row>
    <row r="188" spans="1:9">
      <c r="A188">
        <v>166</v>
      </c>
      <c r="B188" t="s">
        <v>822</v>
      </c>
      <c r="C188" t="s">
        <v>823</v>
      </c>
      <c r="D188" t="s">
        <v>10</v>
      </c>
      <c r="E188" t="s">
        <v>823</v>
      </c>
      <c r="F188" t="s">
        <v>824</v>
      </c>
      <c r="G188" t="s">
        <v>148</v>
      </c>
      <c r="H188" t="s">
        <v>181</v>
      </c>
      <c r="I188" t="s">
        <v>276</v>
      </c>
    </row>
    <row r="189" spans="1:9">
      <c r="A189">
        <v>187</v>
      </c>
      <c r="B189" t="s">
        <v>825</v>
      </c>
      <c r="C189" t="s">
        <v>826</v>
      </c>
      <c r="D189" t="s">
        <v>10</v>
      </c>
      <c r="E189" t="s">
        <v>826</v>
      </c>
      <c r="F189" t="s">
        <v>827</v>
      </c>
      <c r="G189" t="s">
        <v>148</v>
      </c>
      <c r="H189" t="s">
        <v>181</v>
      </c>
      <c r="I189" t="s">
        <v>276</v>
      </c>
    </row>
    <row r="190" spans="1:9">
      <c r="A190">
        <v>168</v>
      </c>
      <c r="B190" t="s">
        <v>828</v>
      </c>
      <c r="C190" t="s">
        <v>829</v>
      </c>
      <c r="D190" t="s">
        <v>10</v>
      </c>
      <c r="E190" t="s">
        <v>830</v>
      </c>
      <c r="F190" t="s">
        <v>831</v>
      </c>
      <c r="G190" t="s">
        <v>148</v>
      </c>
      <c r="H190" t="s">
        <v>181</v>
      </c>
      <c r="I190" t="s">
        <v>276</v>
      </c>
    </row>
    <row r="191" spans="1:9">
      <c r="A191">
        <v>319</v>
      </c>
      <c r="B191" t="s">
        <v>832</v>
      </c>
      <c r="C191" t="s">
        <v>833</v>
      </c>
      <c r="D191" t="s">
        <v>10</v>
      </c>
      <c r="E191" t="s">
        <v>833</v>
      </c>
      <c r="F191" t="s">
        <v>834</v>
      </c>
      <c r="G191" t="s">
        <v>148</v>
      </c>
      <c r="H191" t="s">
        <v>184</v>
      </c>
      <c r="I191" t="s">
        <v>276</v>
      </c>
    </row>
    <row r="192" spans="1:9">
      <c r="A192">
        <v>27</v>
      </c>
      <c r="B192" t="s">
        <v>835</v>
      </c>
      <c r="C192" t="s">
        <v>836</v>
      </c>
      <c r="D192" t="s">
        <v>10</v>
      </c>
      <c r="E192" t="s">
        <v>836</v>
      </c>
      <c r="F192" t="s">
        <v>837</v>
      </c>
      <c r="G192" t="s">
        <v>148</v>
      </c>
      <c r="H192" t="s">
        <v>184</v>
      </c>
      <c r="I192" t="s">
        <v>276</v>
      </c>
    </row>
    <row r="193" spans="1:9">
      <c r="A193">
        <v>258</v>
      </c>
      <c r="B193" t="s">
        <v>838</v>
      </c>
      <c r="C193" t="s">
        <v>839</v>
      </c>
      <c r="D193" t="s">
        <v>10</v>
      </c>
      <c r="E193" t="s">
        <v>839</v>
      </c>
      <c r="F193" t="s">
        <v>840</v>
      </c>
      <c r="G193" t="s">
        <v>148</v>
      </c>
      <c r="H193" t="s">
        <v>184</v>
      </c>
      <c r="I193" t="s">
        <v>276</v>
      </c>
    </row>
    <row r="194" spans="1:9">
      <c r="A194">
        <v>30</v>
      </c>
      <c r="B194" t="s">
        <v>841</v>
      </c>
      <c r="C194" t="s">
        <v>842</v>
      </c>
      <c r="D194" t="s">
        <v>34</v>
      </c>
      <c r="E194" t="s">
        <v>842</v>
      </c>
      <c r="F194" t="s">
        <v>843</v>
      </c>
      <c r="G194" t="s">
        <v>148</v>
      </c>
      <c r="H194" t="s">
        <v>184</v>
      </c>
      <c r="I194" t="s">
        <v>276</v>
      </c>
    </row>
    <row r="195" spans="1:9">
      <c r="A195">
        <v>257</v>
      </c>
      <c r="B195" t="s">
        <v>844</v>
      </c>
      <c r="C195" t="s">
        <v>845</v>
      </c>
      <c r="D195" t="s">
        <v>10</v>
      </c>
      <c r="E195" t="s">
        <v>845</v>
      </c>
      <c r="F195" t="s">
        <v>846</v>
      </c>
      <c r="G195" t="s">
        <v>148</v>
      </c>
      <c r="H195" t="s">
        <v>184</v>
      </c>
      <c r="I195" t="s">
        <v>276</v>
      </c>
    </row>
    <row r="196" spans="1:9">
      <c r="A196">
        <v>256</v>
      </c>
      <c r="B196" t="s">
        <v>847</v>
      </c>
      <c r="C196" t="s">
        <v>848</v>
      </c>
      <c r="D196" t="s">
        <v>10</v>
      </c>
      <c r="E196" t="s">
        <v>849</v>
      </c>
      <c r="F196" t="s">
        <v>850</v>
      </c>
      <c r="G196" t="s">
        <v>148</v>
      </c>
      <c r="H196" t="s">
        <v>184</v>
      </c>
      <c r="I196" t="s">
        <v>276</v>
      </c>
    </row>
    <row r="197" spans="1:9">
      <c r="A197">
        <v>28</v>
      </c>
      <c r="B197" t="s">
        <v>851</v>
      </c>
      <c r="C197" t="s">
        <v>852</v>
      </c>
      <c r="D197" t="s">
        <v>10</v>
      </c>
      <c r="E197" t="s">
        <v>852</v>
      </c>
      <c r="F197" t="s">
        <v>853</v>
      </c>
      <c r="G197" t="s">
        <v>148</v>
      </c>
      <c r="H197" t="s">
        <v>184</v>
      </c>
      <c r="I197" t="s">
        <v>276</v>
      </c>
    </row>
    <row r="198" spans="1:9">
      <c r="A198">
        <v>26</v>
      </c>
      <c r="B198" t="s">
        <v>182</v>
      </c>
      <c r="C198" t="s">
        <v>183</v>
      </c>
      <c r="D198" t="s">
        <v>10</v>
      </c>
      <c r="E198" t="s">
        <v>183</v>
      </c>
      <c r="F198" t="s">
        <v>854</v>
      </c>
      <c r="G198" t="s">
        <v>148</v>
      </c>
      <c r="H198" t="s">
        <v>184</v>
      </c>
      <c r="I198" t="s">
        <v>107</v>
      </c>
    </row>
    <row r="199" spans="1:9">
      <c r="A199">
        <v>115</v>
      </c>
      <c r="B199" t="s">
        <v>855</v>
      </c>
      <c r="C199" t="s">
        <v>856</v>
      </c>
      <c r="D199" t="s">
        <v>10</v>
      </c>
      <c r="E199" t="s">
        <v>856</v>
      </c>
      <c r="F199" t="s">
        <v>857</v>
      </c>
      <c r="G199" t="s">
        <v>148</v>
      </c>
      <c r="H199" t="s">
        <v>184</v>
      </c>
      <c r="I199" t="s">
        <v>276</v>
      </c>
    </row>
    <row r="200" spans="1:9">
      <c r="A200">
        <v>29</v>
      </c>
      <c r="B200" t="s">
        <v>858</v>
      </c>
      <c r="C200" t="s">
        <v>859</v>
      </c>
      <c r="D200" t="s">
        <v>10</v>
      </c>
      <c r="E200" t="s">
        <v>859</v>
      </c>
      <c r="F200" t="s">
        <v>860</v>
      </c>
      <c r="G200" t="s">
        <v>148</v>
      </c>
      <c r="H200" t="s">
        <v>184</v>
      </c>
      <c r="I200" t="s">
        <v>276</v>
      </c>
    </row>
    <row r="201" spans="1:9">
      <c r="A201">
        <v>325</v>
      </c>
      <c r="B201" t="s">
        <v>861</v>
      </c>
      <c r="C201" t="s">
        <v>862</v>
      </c>
      <c r="D201" t="s">
        <v>10</v>
      </c>
      <c r="E201" t="s">
        <v>863</v>
      </c>
      <c r="F201" t="s">
        <v>864</v>
      </c>
      <c r="G201" t="s">
        <v>148</v>
      </c>
      <c r="H201" t="s">
        <v>184</v>
      </c>
      <c r="I201" t="s">
        <v>276</v>
      </c>
    </row>
    <row r="202" spans="1:9">
      <c r="A202">
        <v>318</v>
      </c>
      <c r="B202" t="s">
        <v>865</v>
      </c>
      <c r="C202" t="s">
        <v>866</v>
      </c>
      <c r="D202" t="s">
        <v>10</v>
      </c>
      <c r="E202" t="s">
        <v>866</v>
      </c>
      <c r="F202" t="s">
        <v>867</v>
      </c>
      <c r="G202" t="s">
        <v>148</v>
      </c>
      <c r="H202" t="s">
        <v>184</v>
      </c>
      <c r="I202" t="s">
        <v>276</v>
      </c>
    </row>
    <row r="203" spans="1:9">
      <c r="A203">
        <v>254</v>
      </c>
      <c r="B203" t="s">
        <v>865</v>
      </c>
      <c r="C203" t="s">
        <v>866</v>
      </c>
      <c r="D203" t="s">
        <v>10</v>
      </c>
      <c r="E203" t="s">
        <v>866</v>
      </c>
      <c r="F203" t="s">
        <v>867</v>
      </c>
      <c r="G203" t="s">
        <v>148</v>
      </c>
      <c r="H203" t="s">
        <v>868</v>
      </c>
      <c r="I203" t="s">
        <v>276</v>
      </c>
    </row>
    <row r="204" spans="1:9">
      <c r="A204">
        <v>129</v>
      </c>
      <c r="B204" t="s">
        <v>869</v>
      </c>
      <c r="C204" t="s">
        <v>870</v>
      </c>
      <c r="D204" t="s">
        <v>34</v>
      </c>
      <c r="E204" t="s">
        <v>871</v>
      </c>
      <c r="F204" t="s">
        <v>869</v>
      </c>
      <c r="G204" t="s">
        <v>872</v>
      </c>
      <c r="H204" t="s">
        <v>873</v>
      </c>
      <c r="I204" t="s">
        <v>276</v>
      </c>
    </row>
    <row r="205" spans="1:9">
      <c r="A205">
        <v>200</v>
      </c>
      <c r="B205" t="s">
        <v>509</v>
      </c>
      <c r="C205" t="s">
        <v>510</v>
      </c>
      <c r="D205" t="s">
        <v>34</v>
      </c>
      <c r="E205" t="s">
        <v>510</v>
      </c>
      <c r="F205" t="s">
        <v>511</v>
      </c>
      <c r="G205" t="s">
        <v>872</v>
      </c>
      <c r="H205" t="s">
        <v>873</v>
      </c>
      <c r="I205" t="s">
        <v>276</v>
      </c>
    </row>
    <row r="206" spans="1:9">
      <c r="A206">
        <v>186</v>
      </c>
      <c r="B206" t="s">
        <v>874</v>
      </c>
      <c r="C206" t="s">
        <v>875</v>
      </c>
      <c r="D206" t="s">
        <v>34</v>
      </c>
      <c r="E206" t="s">
        <v>876</v>
      </c>
      <c r="F206" t="s">
        <v>874</v>
      </c>
      <c r="G206" t="s">
        <v>872</v>
      </c>
      <c r="H206" t="s">
        <v>873</v>
      </c>
      <c r="I206" t="s">
        <v>276</v>
      </c>
    </row>
    <row r="207" spans="1:9">
      <c r="A207">
        <v>308</v>
      </c>
      <c r="B207" t="s">
        <v>877</v>
      </c>
      <c r="C207" t="s">
        <v>878</v>
      </c>
      <c r="D207" t="s">
        <v>34</v>
      </c>
      <c r="E207" t="s">
        <v>879</v>
      </c>
      <c r="F207" t="s">
        <v>880</v>
      </c>
      <c r="G207" t="s">
        <v>872</v>
      </c>
      <c r="H207" t="s">
        <v>873</v>
      </c>
      <c r="I207" t="s">
        <v>276</v>
      </c>
    </row>
    <row r="208" spans="1:9">
      <c r="A208">
        <v>113</v>
      </c>
      <c r="B208" t="s">
        <v>881</v>
      </c>
      <c r="C208" t="s">
        <v>882</v>
      </c>
      <c r="D208" t="s">
        <v>34</v>
      </c>
      <c r="E208" t="s">
        <v>883</v>
      </c>
      <c r="F208" t="s">
        <v>884</v>
      </c>
      <c r="G208" t="s">
        <v>872</v>
      </c>
      <c r="H208" t="s">
        <v>873</v>
      </c>
      <c r="I208" t="s">
        <v>276</v>
      </c>
    </row>
    <row r="209" spans="1:9">
      <c r="A209">
        <v>118</v>
      </c>
      <c r="B209" t="s">
        <v>885</v>
      </c>
      <c r="C209" t="s">
        <v>886</v>
      </c>
      <c r="D209" t="s">
        <v>34</v>
      </c>
      <c r="E209" t="s">
        <v>887</v>
      </c>
      <c r="F209" t="s">
        <v>888</v>
      </c>
      <c r="G209" t="s">
        <v>872</v>
      </c>
      <c r="H209" t="s">
        <v>873</v>
      </c>
      <c r="I209" t="s">
        <v>276</v>
      </c>
    </row>
    <row r="210" spans="1:9">
      <c r="A210">
        <v>157</v>
      </c>
      <c r="B210" t="s">
        <v>889</v>
      </c>
      <c r="C210" t="s">
        <v>890</v>
      </c>
      <c r="D210" t="s">
        <v>34</v>
      </c>
      <c r="E210" t="s">
        <v>891</v>
      </c>
      <c r="F210" t="s">
        <v>889</v>
      </c>
      <c r="G210" t="s">
        <v>872</v>
      </c>
      <c r="H210" t="s">
        <v>873</v>
      </c>
      <c r="I210" t="s">
        <v>276</v>
      </c>
    </row>
    <row r="211" spans="1:9">
      <c r="A211">
        <v>5</v>
      </c>
      <c r="B211" t="s">
        <v>892</v>
      </c>
      <c r="C211" t="s">
        <v>893</v>
      </c>
      <c r="D211" t="s">
        <v>34</v>
      </c>
      <c r="E211" t="s">
        <v>894</v>
      </c>
      <c r="F211" t="s">
        <v>895</v>
      </c>
      <c r="G211" t="s">
        <v>872</v>
      </c>
      <c r="H211" t="s">
        <v>873</v>
      </c>
      <c r="I211" t="s">
        <v>276</v>
      </c>
    </row>
    <row r="212" spans="1:9">
      <c r="A212">
        <v>130</v>
      </c>
      <c r="B212" t="s">
        <v>896</v>
      </c>
      <c r="C212" t="s">
        <v>897</v>
      </c>
      <c r="D212" t="s">
        <v>34</v>
      </c>
      <c r="E212" t="s">
        <v>898</v>
      </c>
      <c r="F212" t="s">
        <v>899</v>
      </c>
      <c r="G212" t="s">
        <v>872</v>
      </c>
      <c r="H212" t="s">
        <v>873</v>
      </c>
      <c r="I212" t="s">
        <v>276</v>
      </c>
    </row>
    <row r="213" spans="1:9">
      <c r="A213">
        <v>295</v>
      </c>
      <c r="B213" t="s">
        <v>185</v>
      </c>
      <c r="C213" t="s">
        <v>186</v>
      </c>
      <c r="D213" t="s">
        <v>10</v>
      </c>
      <c r="E213" t="s">
        <v>186</v>
      </c>
      <c r="F213" t="s">
        <v>900</v>
      </c>
      <c r="G213" t="s">
        <v>188</v>
      </c>
      <c r="H213" t="s">
        <v>187</v>
      </c>
      <c r="I213" t="s">
        <v>107</v>
      </c>
    </row>
    <row r="214" spans="1:9">
      <c r="A214">
        <v>243</v>
      </c>
      <c r="B214" t="s">
        <v>901</v>
      </c>
      <c r="C214" t="s">
        <v>902</v>
      </c>
      <c r="D214" t="s">
        <v>10</v>
      </c>
      <c r="E214" t="s">
        <v>903</v>
      </c>
      <c r="F214" t="s">
        <v>904</v>
      </c>
      <c r="G214" t="s">
        <v>188</v>
      </c>
      <c r="H214" t="s">
        <v>905</v>
      </c>
      <c r="I214" t="s">
        <v>276</v>
      </c>
    </row>
    <row r="215" spans="1:9">
      <c r="A215">
        <v>196</v>
      </c>
      <c r="B215" t="s">
        <v>189</v>
      </c>
      <c r="C215" t="s">
        <v>190</v>
      </c>
      <c r="D215" t="s">
        <v>10</v>
      </c>
      <c r="E215" t="s">
        <v>190</v>
      </c>
      <c r="F215" t="s">
        <v>189</v>
      </c>
      <c r="G215" t="s">
        <v>188</v>
      </c>
      <c r="H215" t="s">
        <v>905</v>
      </c>
      <c r="I215" t="s">
        <v>107</v>
      </c>
    </row>
    <row r="216" spans="1:9">
      <c r="A216">
        <v>96</v>
      </c>
      <c r="B216" t="s">
        <v>202</v>
      </c>
      <c r="C216" t="s">
        <v>203</v>
      </c>
      <c r="D216" t="s">
        <v>10</v>
      </c>
      <c r="E216" t="s">
        <v>906</v>
      </c>
      <c r="F216" t="s">
        <v>907</v>
      </c>
      <c r="G216" t="s">
        <v>188</v>
      </c>
      <c r="H216" t="s">
        <v>908</v>
      </c>
      <c r="I216" t="s">
        <v>107</v>
      </c>
    </row>
    <row r="217" spans="1:9">
      <c r="A217">
        <v>8</v>
      </c>
      <c r="B217" t="s">
        <v>192</v>
      </c>
      <c r="C217" t="s">
        <v>193</v>
      </c>
      <c r="D217" t="s">
        <v>34</v>
      </c>
      <c r="E217" t="s">
        <v>193</v>
      </c>
      <c r="F217" t="s">
        <v>909</v>
      </c>
      <c r="G217" t="s">
        <v>188</v>
      </c>
      <c r="H217" t="s">
        <v>194</v>
      </c>
      <c r="I217" t="s">
        <v>107</v>
      </c>
    </row>
    <row r="218" spans="1:9">
      <c r="A218">
        <v>117</v>
      </c>
      <c r="B218" t="s">
        <v>196</v>
      </c>
      <c r="C218" t="s">
        <v>197</v>
      </c>
      <c r="D218" t="s">
        <v>10</v>
      </c>
      <c r="E218" t="s">
        <v>910</v>
      </c>
      <c r="F218" t="s">
        <v>911</v>
      </c>
      <c r="G218" t="s">
        <v>188</v>
      </c>
      <c r="H218" t="s">
        <v>198</v>
      </c>
      <c r="I218" t="s">
        <v>107</v>
      </c>
    </row>
    <row r="219" spans="1:9">
      <c r="A219">
        <v>116</v>
      </c>
      <c r="B219" t="s">
        <v>912</v>
      </c>
      <c r="C219" t="s">
        <v>913</v>
      </c>
      <c r="D219" t="s">
        <v>10</v>
      </c>
      <c r="E219" t="s">
        <v>914</v>
      </c>
      <c r="F219" t="s">
        <v>915</v>
      </c>
      <c r="G219" t="s">
        <v>188</v>
      </c>
      <c r="H219" t="s">
        <v>198</v>
      </c>
      <c r="I219" t="s">
        <v>276</v>
      </c>
    </row>
    <row r="220" spans="1:9">
      <c r="A220">
        <v>53</v>
      </c>
      <c r="B220" t="s">
        <v>199</v>
      </c>
      <c r="C220" t="s">
        <v>200</v>
      </c>
      <c r="D220" t="s">
        <v>10</v>
      </c>
      <c r="E220" t="s">
        <v>916</v>
      </c>
      <c r="F220" t="s">
        <v>199</v>
      </c>
      <c r="G220" t="s">
        <v>188</v>
      </c>
      <c r="H220" t="s">
        <v>917</v>
      </c>
      <c r="I220" t="s">
        <v>107</v>
      </c>
    </row>
    <row r="221" spans="1:9">
      <c r="A221">
        <v>62</v>
      </c>
      <c r="B221" t="s">
        <v>918</v>
      </c>
      <c r="C221" t="s">
        <v>919</v>
      </c>
      <c r="D221" t="s">
        <v>34</v>
      </c>
      <c r="E221" t="s">
        <v>919</v>
      </c>
      <c r="F221" t="s">
        <v>920</v>
      </c>
      <c r="G221" t="s">
        <v>188</v>
      </c>
      <c r="H221" t="s">
        <v>921</v>
      </c>
      <c r="I221" t="s">
        <v>107</v>
      </c>
    </row>
    <row r="222" spans="1:9">
      <c r="A222">
        <v>61</v>
      </c>
      <c r="B222" t="s">
        <v>205</v>
      </c>
      <c r="C222" t="s">
        <v>206</v>
      </c>
      <c r="D222" t="s">
        <v>34</v>
      </c>
      <c r="E222" t="s">
        <v>206</v>
      </c>
      <c r="F222" t="s">
        <v>922</v>
      </c>
      <c r="G222" t="s">
        <v>188</v>
      </c>
      <c r="H222" t="s">
        <v>207</v>
      </c>
      <c r="I222" t="s">
        <v>107</v>
      </c>
    </row>
    <row r="223" spans="1:9">
      <c r="A223">
        <v>54</v>
      </c>
      <c r="B223" t="s">
        <v>199</v>
      </c>
      <c r="C223" t="s">
        <v>200</v>
      </c>
      <c r="D223" t="s">
        <v>10</v>
      </c>
      <c r="E223" t="s">
        <v>200</v>
      </c>
      <c r="F223" t="s">
        <v>199</v>
      </c>
      <c r="G223" t="s">
        <v>188</v>
      </c>
      <c r="H223" t="s">
        <v>923</v>
      </c>
      <c r="I223" t="s">
        <v>107</v>
      </c>
    </row>
    <row r="224" spans="1:9">
      <c r="A224">
        <v>45</v>
      </c>
      <c r="B224" t="s">
        <v>208</v>
      </c>
      <c r="C224" t="s">
        <v>209</v>
      </c>
      <c r="D224" t="s">
        <v>10</v>
      </c>
      <c r="E224" t="s">
        <v>209</v>
      </c>
      <c r="F224" t="s">
        <v>292</v>
      </c>
      <c r="G224" t="s">
        <v>188</v>
      </c>
      <c r="H224" t="s">
        <v>210</v>
      </c>
      <c r="I224" t="s">
        <v>107</v>
      </c>
    </row>
    <row r="225" spans="1:9">
      <c r="A225">
        <v>119</v>
      </c>
      <c r="B225" t="s">
        <v>924</v>
      </c>
      <c r="C225" t="s">
        <v>925</v>
      </c>
      <c r="D225" t="s">
        <v>10</v>
      </c>
      <c r="E225" t="s">
        <v>925</v>
      </c>
      <c r="F225" t="s">
        <v>926</v>
      </c>
      <c r="G225" t="s">
        <v>188</v>
      </c>
      <c r="H225" t="s">
        <v>216</v>
      </c>
      <c r="I225" t="s">
        <v>276</v>
      </c>
    </row>
    <row r="226" spans="1:9">
      <c r="A226">
        <v>95</v>
      </c>
      <c r="B226" t="s">
        <v>214</v>
      </c>
      <c r="C226" t="s">
        <v>215</v>
      </c>
      <c r="D226" t="s">
        <v>10</v>
      </c>
      <c r="E226" t="s">
        <v>215</v>
      </c>
      <c r="F226" t="s">
        <v>214</v>
      </c>
      <c r="G226" t="s">
        <v>188</v>
      </c>
      <c r="H226" t="s">
        <v>216</v>
      </c>
      <c r="I226" t="s">
        <v>107</v>
      </c>
    </row>
    <row r="227" spans="1:9">
      <c r="A227">
        <v>324</v>
      </c>
      <c r="B227" t="s">
        <v>927</v>
      </c>
      <c r="C227" t="s">
        <v>928</v>
      </c>
      <c r="D227" t="s">
        <v>10</v>
      </c>
      <c r="E227" t="s">
        <v>928</v>
      </c>
      <c r="F227" t="s">
        <v>929</v>
      </c>
      <c r="G227" t="s">
        <v>188</v>
      </c>
      <c r="H227" t="s">
        <v>219</v>
      </c>
      <c r="I227" t="s">
        <v>276</v>
      </c>
    </row>
    <row r="228" spans="1:9">
      <c r="A228">
        <v>50</v>
      </c>
      <c r="B228" t="s">
        <v>217</v>
      </c>
      <c r="C228" t="s">
        <v>218</v>
      </c>
      <c r="D228" t="s">
        <v>34</v>
      </c>
      <c r="E228" t="s">
        <v>930</v>
      </c>
      <c r="F228" t="s">
        <v>931</v>
      </c>
      <c r="G228" t="s">
        <v>188</v>
      </c>
      <c r="H228" t="s">
        <v>219</v>
      </c>
      <c r="I228" t="s">
        <v>107</v>
      </c>
    </row>
    <row r="229" spans="1:9">
      <c r="A229">
        <v>321</v>
      </c>
      <c r="B229" t="s">
        <v>223</v>
      </c>
      <c r="C229" t="s">
        <v>224</v>
      </c>
      <c r="D229" t="s">
        <v>10</v>
      </c>
      <c r="E229" t="s">
        <v>932</v>
      </c>
      <c r="F229" t="s">
        <v>807</v>
      </c>
      <c r="G229" t="s">
        <v>188</v>
      </c>
      <c r="H229" t="s">
        <v>225</v>
      </c>
      <c r="I229" t="s">
        <v>107</v>
      </c>
    </row>
    <row r="230" spans="1:9">
      <c r="A230">
        <v>322</v>
      </c>
      <c r="B230" t="s">
        <v>933</v>
      </c>
      <c r="C230" t="s">
        <v>934</v>
      </c>
      <c r="D230" t="s">
        <v>10</v>
      </c>
      <c r="E230" t="s">
        <v>935</v>
      </c>
      <c r="F230" t="s">
        <v>936</v>
      </c>
      <c r="G230" t="s">
        <v>188</v>
      </c>
      <c r="H230" t="s">
        <v>225</v>
      </c>
      <c r="I230" t="s">
        <v>276</v>
      </c>
    </row>
    <row r="231" spans="1:9">
      <c r="A231">
        <v>275</v>
      </c>
      <c r="B231" t="s">
        <v>228</v>
      </c>
      <c r="C231" t="s">
        <v>229</v>
      </c>
      <c r="D231" t="s">
        <v>10</v>
      </c>
      <c r="E231" t="s">
        <v>229</v>
      </c>
      <c r="F231" t="s">
        <v>228</v>
      </c>
      <c r="G231" t="s">
        <v>231</v>
      </c>
      <c r="H231" t="s">
        <v>230</v>
      </c>
      <c r="I231" t="s">
        <v>107</v>
      </c>
    </row>
    <row r="232" spans="1:9">
      <c r="A232">
        <v>192</v>
      </c>
      <c r="B232" t="s">
        <v>235</v>
      </c>
      <c r="C232" t="s">
        <v>236</v>
      </c>
      <c r="D232" t="s">
        <v>10</v>
      </c>
      <c r="E232" t="s">
        <v>937</v>
      </c>
      <c r="F232" t="s">
        <v>938</v>
      </c>
      <c r="G232" t="s">
        <v>231</v>
      </c>
      <c r="H232" t="s">
        <v>237</v>
      </c>
      <c r="I232" t="s">
        <v>107</v>
      </c>
    </row>
    <row r="233" spans="1:9">
      <c r="A233">
        <v>52</v>
      </c>
      <c r="B233" t="s">
        <v>217</v>
      </c>
      <c r="C233" t="s">
        <v>218</v>
      </c>
      <c r="D233" t="s">
        <v>34</v>
      </c>
      <c r="E233" t="s">
        <v>930</v>
      </c>
      <c r="F233" t="s">
        <v>931</v>
      </c>
      <c r="G233" t="s">
        <v>231</v>
      </c>
      <c r="H233" t="s">
        <v>237</v>
      </c>
      <c r="I233" t="s">
        <v>107</v>
      </c>
    </row>
    <row r="234" spans="1:9">
      <c r="A234">
        <v>209</v>
      </c>
      <c r="B234" t="s">
        <v>939</v>
      </c>
      <c r="C234" t="s">
        <v>940</v>
      </c>
      <c r="D234" t="s">
        <v>34</v>
      </c>
      <c r="E234" t="s">
        <v>940</v>
      </c>
      <c r="F234" t="s">
        <v>941</v>
      </c>
      <c r="G234" t="s">
        <v>244</v>
      </c>
      <c r="H234" t="s">
        <v>942</v>
      </c>
      <c r="I234" t="s">
        <v>276</v>
      </c>
    </row>
    <row r="235" spans="1:9">
      <c r="A235">
        <v>193</v>
      </c>
      <c r="B235" t="s">
        <v>943</v>
      </c>
      <c r="C235" t="s">
        <v>944</v>
      </c>
      <c r="D235" t="s">
        <v>10</v>
      </c>
      <c r="E235" t="s">
        <v>944</v>
      </c>
      <c r="F235" t="s">
        <v>943</v>
      </c>
      <c r="G235" t="s">
        <v>244</v>
      </c>
      <c r="H235" t="s">
        <v>942</v>
      </c>
      <c r="I235" t="s">
        <v>276</v>
      </c>
    </row>
    <row r="236" spans="1:9">
      <c r="A236">
        <v>194</v>
      </c>
      <c r="B236" t="s">
        <v>245</v>
      </c>
      <c r="C236" t="s">
        <v>246</v>
      </c>
      <c r="D236" t="s">
        <v>34</v>
      </c>
      <c r="E236" t="s">
        <v>945</v>
      </c>
      <c r="F236" t="s">
        <v>245</v>
      </c>
      <c r="G236" t="s">
        <v>244</v>
      </c>
      <c r="H236" t="s">
        <v>942</v>
      </c>
      <c r="I236" t="s">
        <v>107</v>
      </c>
    </row>
    <row r="237" spans="1:9">
      <c r="A237">
        <v>331</v>
      </c>
      <c r="B237" t="s">
        <v>946</v>
      </c>
      <c r="C237" t="s">
        <v>947</v>
      </c>
      <c r="D237" t="s">
        <v>34</v>
      </c>
      <c r="E237" t="s">
        <v>947</v>
      </c>
      <c r="F237" t="s">
        <v>948</v>
      </c>
      <c r="G237" t="s">
        <v>244</v>
      </c>
      <c r="H237" t="s">
        <v>250</v>
      </c>
      <c r="I237" t="s">
        <v>276</v>
      </c>
    </row>
    <row r="238" spans="1:9">
      <c r="A238">
        <v>328</v>
      </c>
      <c r="B238" t="s">
        <v>248</v>
      </c>
      <c r="C238" t="s">
        <v>249</v>
      </c>
      <c r="D238" t="s">
        <v>10</v>
      </c>
      <c r="E238" t="s">
        <v>249</v>
      </c>
      <c r="F238" t="s">
        <v>949</v>
      </c>
      <c r="G238" t="s">
        <v>244</v>
      </c>
      <c r="H238" t="s">
        <v>250</v>
      </c>
      <c r="I238" t="s">
        <v>276</v>
      </c>
    </row>
    <row r="239" spans="1:9">
      <c r="A239">
        <v>329</v>
      </c>
      <c r="B239" t="s">
        <v>950</v>
      </c>
      <c r="C239" t="s">
        <v>951</v>
      </c>
      <c r="D239" t="s">
        <v>34</v>
      </c>
      <c r="E239" t="s">
        <v>951</v>
      </c>
      <c r="F239" t="s">
        <v>952</v>
      </c>
      <c r="G239" t="s">
        <v>244</v>
      </c>
      <c r="H239" t="s">
        <v>250</v>
      </c>
      <c r="I239" t="s">
        <v>276</v>
      </c>
    </row>
    <row r="240" spans="1:9">
      <c r="A240">
        <v>330</v>
      </c>
      <c r="B240" t="s">
        <v>260</v>
      </c>
      <c r="C240" t="s">
        <v>261</v>
      </c>
      <c r="D240" t="s">
        <v>10</v>
      </c>
      <c r="E240" t="s">
        <v>261</v>
      </c>
      <c r="F240" t="s">
        <v>953</v>
      </c>
      <c r="G240" t="s">
        <v>244</v>
      </c>
      <c r="H240" t="s">
        <v>250</v>
      </c>
      <c r="I240" t="s">
        <v>276</v>
      </c>
    </row>
    <row r="241" spans="1:9">
      <c r="A241">
        <v>312</v>
      </c>
      <c r="B241" t="s">
        <v>954</v>
      </c>
      <c r="C241" t="s">
        <v>955</v>
      </c>
      <c r="D241" t="s">
        <v>10</v>
      </c>
      <c r="E241" t="s">
        <v>956</v>
      </c>
      <c r="F241" t="s">
        <v>957</v>
      </c>
      <c r="G241" t="s">
        <v>244</v>
      </c>
      <c r="H241" t="s">
        <v>253</v>
      </c>
      <c r="I241" t="s">
        <v>276</v>
      </c>
    </row>
    <row r="242" spans="1:9">
      <c r="A242">
        <v>222</v>
      </c>
      <c r="B242" t="s">
        <v>251</v>
      </c>
      <c r="C242" t="s">
        <v>252</v>
      </c>
      <c r="D242" t="s">
        <v>10</v>
      </c>
      <c r="E242" t="s">
        <v>252</v>
      </c>
      <c r="F242" t="s">
        <v>958</v>
      </c>
      <c r="G242" t="s">
        <v>244</v>
      </c>
      <c r="H242" t="s">
        <v>253</v>
      </c>
      <c r="I242" t="s">
        <v>107</v>
      </c>
    </row>
    <row r="243" spans="1:9">
      <c r="A243">
        <v>317</v>
      </c>
      <c r="B243" t="s">
        <v>959</v>
      </c>
      <c r="C243" t="s">
        <v>960</v>
      </c>
      <c r="D243" t="s">
        <v>10</v>
      </c>
      <c r="E243" t="s">
        <v>961</v>
      </c>
      <c r="F243" t="s">
        <v>962</v>
      </c>
      <c r="G243" t="s">
        <v>244</v>
      </c>
      <c r="H243" t="s">
        <v>253</v>
      </c>
      <c r="I243" t="s">
        <v>276</v>
      </c>
    </row>
    <row r="244" spans="1:9">
      <c r="A244">
        <v>305</v>
      </c>
      <c r="B244" t="s">
        <v>963</v>
      </c>
      <c r="C244" t="s">
        <v>964</v>
      </c>
      <c r="D244" t="s">
        <v>10</v>
      </c>
      <c r="E244" t="s">
        <v>964</v>
      </c>
      <c r="F244" t="s">
        <v>965</v>
      </c>
      <c r="G244" t="s">
        <v>244</v>
      </c>
      <c r="H244" t="s">
        <v>253</v>
      </c>
      <c r="I244" t="s">
        <v>276</v>
      </c>
    </row>
    <row r="245" spans="1:9">
      <c r="A245">
        <v>304</v>
      </c>
      <c r="B245" t="s">
        <v>966</v>
      </c>
      <c r="C245" t="s">
        <v>967</v>
      </c>
      <c r="D245" t="s">
        <v>10</v>
      </c>
      <c r="E245" t="s">
        <v>968</v>
      </c>
      <c r="F245" t="s">
        <v>969</v>
      </c>
      <c r="G245" t="s">
        <v>244</v>
      </c>
      <c r="H245" t="s">
        <v>253</v>
      </c>
      <c r="I245" t="s">
        <v>276</v>
      </c>
    </row>
    <row r="246" spans="1:9">
      <c r="A246">
        <v>137</v>
      </c>
      <c r="B246" t="s">
        <v>970</v>
      </c>
      <c r="C246" t="s">
        <v>971</v>
      </c>
      <c r="D246" t="s">
        <v>34</v>
      </c>
      <c r="E246" t="s">
        <v>972</v>
      </c>
      <c r="F246" t="s">
        <v>973</v>
      </c>
      <c r="G246" t="s">
        <v>244</v>
      </c>
      <c r="H246" t="s">
        <v>256</v>
      </c>
      <c r="I246" t="s">
        <v>276</v>
      </c>
    </row>
    <row r="247" spans="1:9">
      <c r="A247">
        <v>133</v>
      </c>
      <c r="B247" t="s">
        <v>254</v>
      </c>
      <c r="C247" t="s">
        <v>255</v>
      </c>
      <c r="D247" t="s">
        <v>34</v>
      </c>
      <c r="E247" t="s">
        <v>974</v>
      </c>
      <c r="F247" t="s">
        <v>975</v>
      </c>
      <c r="G247" t="s">
        <v>244</v>
      </c>
      <c r="H247" t="s">
        <v>256</v>
      </c>
      <c r="I247" t="s">
        <v>107</v>
      </c>
    </row>
    <row r="248" spans="1:9">
      <c r="A248">
        <v>158</v>
      </c>
      <c r="B248" t="s">
        <v>976</v>
      </c>
      <c r="C248" t="s">
        <v>977</v>
      </c>
      <c r="D248" t="s">
        <v>34</v>
      </c>
      <c r="E248" t="s">
        <v>978</v>
      </c>
      <c r="F248" t="s">
        <v>979</v>
      </c>
      <c r="G248" t="s">
        <v>244</v>
      </c>
      <c r="H248" t="s">
        <v>256</v>
      </c>
      <c r="I248" t="s">
        <v>276</v>
      </c>
    </row>
    <row r="249" spans="1:9">
      <c r="A249">
        <v>138</v>
      </c>
      <c r="B249" t="s">
        <v>980</v>
      </c>
      <c r="C249" t="s">
        <v>981</v>
      </c>
      <c r="D249" t="s">
        <v>34</v>
      </c>
      <c r="E249" t="s">
        <v>981</v>
      </c>
      <c r="F249" t="s">
        <v>982</v>
      </c>
      <c r="G249" t="s">
        <v>244</v>
      </c>
      <c r="H249" t="s">
        <v>256</v>
      </c>
      <c r="I249" t="s">
        <v>276</v>
      </c>
    </row>
    <row r="250" spans="1:9">
      <c r="A250">
        <v>326</v>
      </c>
      <c r="B250" t="s">
        <v>983</v>
      </c>
      <c r="C250" t="s">
        <v>984</v>
      </c>
      <c r="D250" t="s">
        <v>674</v>
      </c>
      <c r="E250" t="s">
        <v>984</v>
      </c>
      <c r="F250" t="s">
        <v>985</v>
      </c>
      <c r="G250" t="s">
        <v>244</v>
      </c>
      <c r="H250" t="s">
        <v>986</v>
      </c>
      <c r="I250" t="s">
        <v>276</v>
      </c>
    </row>
    <row r="251" spans="1:9">
      <c r="A251">
        <v>261</v>
      </c>
      <c r="B251" t="s">
        <v>987</v>
      </c>
      <c r="C251" t="s">
        <v>988</v>
      </c>
      <c r="D251" t="s">
        <v>34</v>
      </c>
      <c r="E251" t="s">
        <v>989</v>
      </c>
      <c r="F251" t="s">
        <v>990</v>
      </c>
      <c r="G251" t="s">
        <v>244</v>
      </c>
      <c r="H251" t="s">
        <v>263</v>
      </c>
      <c r="I251" t="s">
        <v>276</v>
      </c>
    </row>
    <row r="252" spans="1:9">
      <c r="A252">
        <v>248</v>
      </c>
      <c r="B252" t="s">
        <v>991</v>
      </c>
      <c r="C252" t="s">
        <v>992</v>
      </c>
      <c r="D252" t="s">
        <v>34</v>
      </c>
      <c r="E252" t="s">
        <v>993</v>
      </c>
      <c r="F252" t="s">
        <v>994</v>
      </c>
      <c r="G252" t="s">
        <v>244</v>
      </c>
      <c r="H252" t="s">
        <v>263</v>
      </c>
      <c r="I252" t="s">
        <v>276</v>
      </c>
    </row>
    <row r="253" spans="1:9">
      <c r="A253">
        <v>244</v>
      </c>
      <c r="B253" t="s">
        <v>995</v>
      </c>
      <c r="C253" t="s">
        <v>996</v>
      </c>
      <c r="D253" t="s">
        <v>34</v>
      </c>
      <c r="E253" t="s">
        <v>997</v>
      </c>
      <c r="F253" t="s">
        <v>998</v>
      </c>
      <c r="G253" t="s">
        <v>244</v>
      </c>
      <c r="H253" t="s">
        <v>263</v>
      </c>
      <c r="I253" t="s">
        <v>276</v>
      </c>
    </row>
    <row r="254" spans="1:9">
      <c r="A254">
        <v>252</v>
      </c>
      <c r="B254" t="s">
        <v>999</v>
      </c>
      <c r="C254" t="s">
        <v>1000</v>
      </c>
      <c r="D254" t="s">
        <v>34</v>
      </c>
      <c r="E254" t="s">
        <v>1000</v>
      </c>
      <c r="F254" t="s">
        <v>1001</v>
      </c>
      <c r="G254" t="s">
        <v>244</v>
      </c>
      <c r="H254" t="s">
        <v>263</v>
      </c>
      <c r="I254" t="s">
        <v>276</v>
      </c>
    </row>
    <row r="255" spans="1:9">
      <c r="A255">
        <v>10</v>
      </c>
      <c r="B255" t="s">
        <v>1002</v>
      </c>
      <c r="C255" t="s">
        <v>1003</v>
      </c>
      <c r="D255" t="s">
        <v>34</v>
      </c>
      <c r="E255" t="s">
        <v>1003</v>
      </c>
      <c r="F255" t="s">
        <v>1004</v>
      </c>
      <c r="G255" t="s">
        <v>244</v>
      </c>
      <c r="H255" t="s">
        <v>263</v>
      </c>
      <c r="I255" t="s">
        <v>276</v>
      </c>
    </row>
    <row r="256" spans="1:9">
      <c r="A256">
        <v>132</v>
      </c>
      <c r="B256" t="s">
        <v>1005</v>
      </c>
      <c r="C256" t="s">
        <v>1006</v>
      </c>
      <c r="D256" t="s">
        <v>10</v>
      </c>
      <c r="E256" t="s">
        <v>1006</v>
      </c>
      <c r="F256" t="s">
        <v>1007</v>
      </c>
      <c r="G256" t="s">
        <v>244</v>
      </c>
      <c r="H256" t="s">
        <v>263</v>
      </c>
      <c r="I256" t="s">
        <v>276</v>
      </c>
    </row>
    <row r="257" spans="1:9">
      <c r="A257">
        <v>245</v>
      </c>
      <c r="B257" t="s">
        <v>731</v>
      </c>
      <c r="C257" t="s">
        <v>732</v>
      </c>
      <c r="D257" t="s">
        <v>10</v>
      </c>
      <c r="E257" t="s">
        <v>732</v>
      </c>
      <c r="F257" t="s">
        <v>731</v>
      </c>
      <c r="G257" t="s">
        <v>244</v>
      </c>
      <c r="H257" t="s">
        <v>263</v>
      </c>
      <c r="I257" t="s">
        <v>276</v>
      </c>
    </row>
    <row r="258" spans="1:9">
      <c r="A258">
        <v>35</v>
      </c>
      <c r="B258" t="s">
        <v>267</v>
      </c>
      <c r="C258" t="s">
        <v>268</v>
      </c>
      <c r="D258" t="s">
        <v>10</v>
      </c>
      <c r="E258" t="s">
        <v>268</v>
      </c>
      <c r="F258" t="s">
        <v>1008</v>
      </c>
      <c r="G258" t="s">
        <v>244</v>
      </c>
      <c r="H258" t="s">
        <v>269</v>
      </c>
      <c r="I258" t="s">
        <v>107</v>
      </c>
    </row>
    <row r="259" spans="1:9">
      <c r="A259">
        <v>36</v>
      </c>
      <c r="B259" t="s">
        <v>1009</v>
      </c>
      <c r="C259" t="s">
        <v>1010</v>
      </c>
      <c r="D259" t="s">
        <v>34</v>
      </c>
      <c r="E259" t="s">
        <v>1010</v>
      </c>
      <c r="F259" t="s">
        <v>1009</v>
      </c>
      <c r="G259" t="s">
        <v>244</v>
      </c>
      <c r="H259" t="s">
        <v>269</v>
      </c>
      <c r="I259" t="s">
        <v>276</v>
      </c>
    </row>
    <row r="260" spans="1:9">
      <c r="A260">
        <v>48</v>
      </c>
      <c r="B260" t="s">
        <v>1011</v>
      </c>
      <c r="C260" t="s">
        <v>1012</v>
      </c>
      <c r="D260" t="s">
        <v>10</v>
      </c>
      <c r="E260" t="s">
        <v>1013</v>
      </c>
      <c r="F260" t="s">
        <v>1014</v>
      </c>
      <c r="G260" t="s">
        <v>244</v>
      </c>
      <c r="H260" t="s">
        <v>269</v>
      </c>
      <c r="I260" t="s">
        <v>276</v>
      </c>
    </row>
    <row r="261" spans="1:9">
      <c r="A261">
        <v>47</v>
      </c>
      <c r="B261" t="s">
        <v>1015</v>
      </c>
      <c r="C261" t="s">
        <v>1016</v>
      </c>
      <c r="D261" t="s">
        <v>10</v>
      </c>
      <c r="E261" t="s">
        <v>1016</v>
      </c>
      <c r="F261" t="s">
        <v>1017</v>
      </c>
      <c r="G261" t="s">
        <v>244</v>
      </c>
      <c r="H261" t="s">
        <v>269</v>
      </c>
      <c r="I261" t="s">
        <v>276</v>
      </c>
    </row>
    <row r="262" spans="1:9">
      <c r="A262">
        <v>333</v>
      </c>
      <c r="B262" t="s">
        <v>264</v>
      </c>
      <c r="C262" t="s">
        <v>265</v>
      </c>
      <c r="D262" t="s">
        <v>34</v>
      </c>
      <c r="E262" t="s">
        <v>1018</v>
      </c>
      <c r="F262" t="s">
        <v>1019</v>
      </c>
      <c r="G262" t="s">
        <v>244</v>
      </c>
      <c r="H262" t="s">
        <v>266</v>
      </c>
      <c r="I262" t="s">
        <v>107</v>
      </c>
    </row>
    <row r="263" spans="1:9">
      <c r="A263">
        <v>334</v>
      </c>
      <c r="B263" t="s">
        <v>1020</v>
      </c>
      <c r="C263" t="s">
        <v>1021</v>
      </c>
      <c r="D263" t="s">
        <v>10</v>
      </c>
      <c r="E263" t="s">
        <v>1021</v>
      </c>
      <c r="F263" t="s">
        <v>1022</v>
      </c>
      <c r="G263" t="s">
        <v>244</v>
      </c>
      <c r="H263" t="s">
        <v>266</v>
      </c>
      <c r="I263" t="s">
        <v>276</v>
      </c>
    </row>
    <row r="264" spans="1:9">
      <c r="A264">
        <v>335</v>
      </c>
      <c r="B264" t="s">
        <v>983</v>
      </c>
      <c r="C264" t="s">
        <v>984</v>
      </c>
      <c r="D264" t="s">
        <v>34</v>
      </c>
      <c r="E264" t="s">
        <v>984</v>
      </c>
      <c r="F264" t="s">
        <v>985</v>
      </c>
      <c r="G264" t="s">
        <v>244</v>
      </c>
      <c r="H264" t="s">
        <v>266</v>
      </c>
      <c r="I264" t="s">
        <v>276</v>
      </c>
    </row>
    <row r="265" spans="1:9">
      <c r="A265">
        <v>336</v>
      </c>
      <c r="B265" t="s">
        <v>1023</v>
      </c>
      <c r="C265" t="s">
        <v>1024</v>
      </c>
      <c r="D265" t="s">
        <v>34</v>
      </c>
      <c r="E265" t="s">
        <v>1025</v>
      </c>
      <c r="F265" t="s">
        <v>1026</v>
      </c>
      <c r="G265" t="s">
        <v>244</v>
      </c>
      <c r="H265" t="s">
        <v>1027</v>
      </c>
      <c r="I265" t="s">
        <v>276</v>
      </c>
    </row>
    <row r="266" spans="1:9">
      <c r="A266">
        <v>337</v>
      </c>
      <c r="B266" t="s">
        <v>1028</v>
      </c>
      <c r="C266" t="s">
        <v>1029</v>
      </c>
      <c r="D266" t="s">
        <v>34</v>
      </c>
      <c r="E266" t="s">
        <v>1030</v>
      </c>
      <c r="F266" t="s">
        <v>1028</v>
      </c>
      <c r="G266" t="s">
        <v>120</v>
      </c>
      <c r="H266" t="s">
        <v>1031</v>
      </c>
      <c r="I266" t="s">
        <v>276</v>
      </c>
    </row>
    <row r="267" spans="1:9">
      <c r="A267">
        <v>338</v>
      </c>
      <c r="B267" t="s">
        <v>1032</v>
      </c>
      <c r="C267" t="s">
        <v>1033</v>
      </c>
      <c r="D267" t="s">
        <v>10</v>
      </c>
      <c r="E267" t="s">
        <v>1034</v>
      </c>
      <c r="F267" t="s">
        <v>1032</v>
      </c>
      <c r="G267" t="s">
        <v>120</v>
      </c>
      <c r="H267" t="s">
        <v>138</v>
      </c>
      <c r="I267" t="s">
        <v>276</v>
      </c>
    </row>
    <row r="268" spans="1:9">
      <c r="A268">
        <v>339</v>
      </c>
      <c r="B268" t="s">
        <v>1035</v>
      </c>
      <c r="C268" t="s">
        <v>1036</v>
      </c>
      <c r="D268" t="s">
        <v>10</v>
      </c>
      <c r="E268" t="s">
        <v>1037</v>
      </c>
      <c r="F268" t="s">
        <v>1038</v>
      </c>
      <c r="G268" t="s">
        <v>120</v>
      </c>
      <c r="H268" t="s">
        <v>1039</v>
      </c>
      <c r="I268" t="s">
        <v>276</v>
      </c>
    </row>
    <row r="269" spans="1:9">
      <c r="A269">
        <v>340</v>
      </c>
      <c r="B269" t="s">
        <v>1040</v>
      </c>
      <c r="C269" t="s">
        <v>1041</v>
      </c>
      <c r="D269" t="s">
        <v>10</v>
      </c>
      <c r="E269" t="s">
        <v>1041</v>
      </c>
      <c r="F269" t="s">
        <v>1042</v>
      </c>
      <c r="G269" t="s">
        <v>244</v>
      </c>
      <c r="H269" t="s">
        <v>266</v>
      </c>
      <c r="I269" t="s">
        <v>276</v>
      </c>
    </row>
    <row r="270" spans="1:9">
      <c r="A270">
        <v>341</v>
      </c>
      <c r="B270" t="s">
        <v>1043</v>
      </c>
      <c r="C270" t="s">
        <v>1044</v>
      </c>
      <c r="D270" t="s">
        <v>674</v>
      </c>
      <c r="E270" t="s">
        <v>1045</v>
      </c>
      <c r="F270" t="s">
        <v>1046</v>
      </c>
      <c r="G270" t="s">
        <v>231</v>
      </c>
      <c r="H270" t="s">
        <v>1047</v>
      </c>
      <c r="I270" t="s">
        <v>276</v>
      </c>
    </row>
    <row r="271" spans="1:9">
      <c r="A271">
        <v>342</v>
      </c>
      <c r="B271" t="s">
        <v>1048</v>
      </c>
      <c r="C271" t="s">
        <v>1049</v>
      </c>
      <c r="D271" t="s">
        <v>1050</v>
      </c>
      <c r="E271" t="s">
        <v>1049</v>
      </c>
      <c r="F271" t="s">
        <v>1051</v>
      </c>
      <c r="G271" t="s">
        <v>231</v>
      </c>
      <c r="H271" t="s">
        <v>1052</v>
      </c>
      <c r="I271" t="s">
        <v>276</v>
      </c>
    </row>
    <row r="272" spans="1:9">
      <c r="A272">
        <v>343</v>
      </c>
      <c r="B272" t="s">
        <v>1043</v>
      </c>
      <c r="C272" t="s">
        <v>1044</v>
      </c>
      <c r="D272" t="s">
        <v>674</v>
      </c>
      <c r="E272" t="s">
        <v>1045</v>
      </c>
      <c r="F272" t="s">
        <v>1046</v>
      </c>
      <c r="G272" t="s">
        <v>231</v>
      </c>
      <c r="H272" t="s">
        <v>1052</v>
      </c>
      <c r="I272" t="s">
        <v>276</v>
      </c>
    </row>
    <row r="273" spans="1:9">
      <c r="A273">
        <v>344</v>
      </c>
      <c r="B273" t="s">
        <v>918</v>
      </c>
      <c r="C273" t="s">
        <v>919</v>
      </c>
      <c r="D273" t="s">
        <v>34</v>
      </c>
      <c r="E273" t="s">
        <v>919</v>
      </c>
      <c r="F273" t="s">
        <v>920</v>
      </c>
      <c r="G273" t="s">
        <v>188</v>
      </c>
      <c r="H273" t="s">
        <v>1053</v>
      </c>
      <c r="I273" t="s">
        <v>107</v>
      </c>
    </row>
    <row r="274" spans="1:9">
      <c r="A274">
        <v>345</v>
      </c>
      <c r="B274" t="s">
        <v>199</v>
      </c>
      <c r="C274" t="s">
        <v>200</v>
      </c>
      <c r="D274" t="s">
        <v>10</v>
      </c>
      <c r="E274" t="s">
        <v>916</v>
      </c>
      <c r="F274" t="s">
        <v>199</v>
      </c>
      <c r="G274" t="s">
        <v>188</v>
      </c>
      <c r="H274" t="s">
        <v>201</v>
      </c>
      <c r="I274" t="s">
        <v>107</v>
      </c>
    </row>
    <row r="275" spans="1:9">
      <c r="A275">
        <v>346</v>
      </c>
      <c r="B275" t="s">
        <v>1054</v>
      </c>
      <c r="C275" t="s">
        <v>1055</v>
      </c>
      <c r="D275" t="s">
        <v>10</v>
      </c>
      <c r="E275" t="s">
        <v>1056</v>
      </c>
      <c r="F275" t="s">
        <v>1057</v>
      </c>
      <c r="G275" t="s">
        <v>188</v>
      </c>
      <c r="H275" t="s">
        <v>1058</v>
      </c>
      <c r="I275" t="s">
        <v>276</v>
      </c>
    </row>
    <row r="276" spans="1:9">
      <c r="A276">
        <v>348</v>
      </c>
      <c r="B276" t="s">
        <v>1059</v>
      </c>
      <c r="C276" t="s">
        <v>1060</v>
      </c>
      <c r="D276" t="s">
        <v>10</v>
      </c>
      <c r="E276" t="s">
        <v>1061</v>
      </c>
      <c r="F276" t="s">
        <v>1062</v>
      </c>
      <c r="G276" t="s">
        <v>106</v>
      </c>
      <c r="H276" t="s">
        <v>113</v>
      </c>
      <c r="I276" t="s">
        <v>276</v>
      </c>
    </row>
    <row r="277" spans="1:9">
      <c r="A277">
        <v>349</v>
      </c>
      <c r="B277" t="s">
        <v>214</v>
      </c>
      <c r="C277" t="s">
        <v>215</v>
      </c>
      <c r="D277" t="s">
        <v>10</v>
      </c>
      <c r="E277" t="s">
        <v>215</v>
      </c>
      <c r="F277" t="s">
        <v>214</v>
      </c>
      <c r="G277" t="s">
        <v>188</v>
      </c>
      <c r="H277" t="s">
        <v>216</v>
      </c>
      <c r="I277" t="s">
        <v>107</v>
      </c>
    </row>
    <row r="278" spans="1:9">
      <c r="A278">
        <v>350</v>
      </c>
      <c r="B278" t="s">
        <v>1063</v>
      </c>
      <c r="C278" t="s">
        <v>1064</v>
      </c>
      <c r="D278" t="s">
        <v>10</v>
      </c>
      <c r="E278" t="s">
        <v>1064</v>
      </c>
      <c r="F278" t="s">
        <v>1065</v>
      </c>
      <c r="G278" t="s">
        <v>148</v>
      </c>
      <c r="H278" t="s">
        <v>157</v>
      </c>
      <c r="I278" t="s">
        <v>276</v>
      </c>
    </row>
    <row r="279" spans="1:9">
      <c r="A279">
        <v>351</v>
      </c>
      <c r="B279" t="s">
        <v>1066</v>
      </c>
      <c r="C279" t="s">
        <v>1067</v>
      </c>
      <c r="D279" t="s">
        <v>10</v>
      </c>
      <c r="E279" t="s">
        <v>1067</v>
      </c>
      <c r="F279" t="s">
        <v>1068</v>
      </c>
      <c r="G279" t="s">
        <v>148</v>
      </c>
      <c r="H279" t="s">
        <v>157</v>
      </c>
      <c r="I279" t="s">
        <v>276</v>
      </c>
    </row>
    <row r="280" spans="1:9">
      <c r="A280">
        <v>352</v>
      </c>
      <c r="B280" t="s">
        <v>1069</v>
      </c>
      <c r="C280" t="s">
        <v>1070</v>
      </c>
      <c r="D280" t="s">
        <v>10</v>
      </c>
      <c r="E280" t="s">
        <v>1071</v>
      </c>
      <c r="F280" t="s">
        <v>1072</v>
      </c>
      <c r="G280" t="s">
        <v>148</v>
      </c>
      <c r="H280" t="s">
        <v>157</v>
      </c>
      <c r="I280" t="s">
        <v>276</v>
      </c>
    </row>
    <row r="281" spans="1:9">
      <c r="A281">
        <v>353</v>
      </c>
      <c r="B281" t="s">
        <v>155</v>
      </c>
      <c r="C281" t="s">
        <v>156</v>
      </c>
      <c r="D281" t="s">
        <v>10</v>
      </c>
      <c r="E281" t="s">
        <v>156</v>
      </c>
      <c r="F281" t="s">
        <v>155</v>
      </c>
      <c r="G281" t="s">
        <v>148</v>
      </c>
      <c r="H281" t="s">
        <v>157</v>
      </c>
      <c r="I281" t="s">
        <v>107</v>
      </c>
    </row>
    <row r="282" spans="1:9">
      <c r="A282">
        <v>354</v>
      </c>
      <c r="B282" t="s">
        <v>1073</v>
      </c>
      <c r="C282" t="s">
        <v>1074</v>
      </c>
      <c r="D282" t="s">
        <v>10</v>
      </c>
      <c r="E282" t="s">
        <v>1074</v>
      </c>
      <c r="F282" t="s">
        <v>1075</v>
      </c>
      <c r="G282" t="s">
        <v>148</v>
      </c>
      <c r="H282" t="s">
        <v>157</v>
      </c>
      <c r="I282" t="s">
        <v>276</v>
      </c>
    </row>
    <row r="283" spans="1:9">
      <c r="A283">
        <v>355</v>
      </c>
      <c r="B283" t="s">
        <v>1076</v>
      </c>
      <c r="C283" t="s">
        <v>1077</v>
      </c>
      <c r="D283" t="s">
        <v>10</v>
      </c>
      <c r="E283" t="s">
        <v>1077</v>
      </c>
      <c r="F283" t="s">
        <v>1078</v>
      </c>
      <c r="G283" t="s">
        <v>148</v>
      </c>
      <c r="H283" t="s">
        <v>157</v>
      </c>
      <c r="I283" t="s">
        <v>276</v>
      </c>
    </row>
    <row r="284" spans="1:9">
      <c r="A284">
        <v>356</v>
      </c>
      <c r="B284" t="s">
        <v>1079</v>
      </c>
      <c r="C284" t="s">
        <v>1080</v>
      </c>
      <c r="D284" t="s">
        <v>10</v>
      </c>
      <c r="E284" t="s">
        <v>1081</v>
      </c>
      <c r="F284" t="s">
        <v>1082</v>
      </c>
      <c r="G284" t="s">
        <v>148</v>
      </c>
      <c r="H284" t="s">
        <v>157</v>
      </c>
      <c r="I284" t="s">
        <v>276</v>
      </c>
    </row>
    <row r="285" spans="1:9">
      <c r="A285">
        <v>357</v>
      </c>
      <c r="B285" t="s">
        <v>211</v>
      </c>
      <c r="C285" t="s">
        <v>212</v>
      </c>
      <c r="D285" t="s">
        <v>10</v>
      </c>
      <c r="E285" t="s">
        <v>1083</v>
      </c>
      <c r="F285" t="s">
        <v>765</v>
      </c>
      <c r="G285" t="s">
        <v>188</v>
      </c>
      <c r="H285" t="s">
        <v>1084</v>
      </c>
      <c r="I285" t="s">
        <v>107</v>
      </c>
    </row>
    <row r="286" spans="1:9">
      <c r="A286">
        <v>358</v>
      </c>
      <c r="B286" t="s">
        <v>211</v>
      </c>
      <c r="C286" t="s">
        <v>212</v>
      </c>
      <c r="D286" t="s">
        <v>10</v>
      </c>
      <c r="E286" t="s">
        <v>764</v>
      </c>
      <c r="F286" t="s">
        <v>765</v>
      </c>
      <c r="G286" t="s">
        <v>188</v>
      </c>
      <c r="H286" t="s">
        <v>216</v>
      </c>
      <c r="I286" t="s">
        <v>107</v>
      </c>
    </row>
    <row r="287" spans="1:9">
      <c r="A287">
        <v>359</v>
      </c>
      <c r="B287" t="s">
        <v>1085</v>
      </c>
      <c r="C287" t="s">
        <v>1086</v>
      </c>
      <c r="D287" t="s">
        <v>10</v>
      </c>
      <c r="E287" t="s">
        <v>1087</v>
      </c>
      <c r="F287" t="s">
        <v>1088</v>
      </c>
      <c r="G287" t="s">
        <v>148</v>
      </c>
      <c r="H287" t="s">
        <v>157</v>
      </c>
      <c r="I287" t="s">
        <v>276</v>
      </c>
    </row>
    <row r="288" spans="1:9">
      <c r="A288">
        <v>360</v>
      </c>
      <c r="B288" t="s">
        <v>1089</v>
      </c>
      <c r="C288" t="s">
        <v>1090</v>
      </c>
      <c r="D288" t="s">
        <v>10</v>
      </c>
      <c r="E288" t="s">
        <v>1091</v>
      </c>
      <c r="F288" t="s">
        <v>1092</v>
      </c>
      <c r="G288" t="s">
        <v>148</v>
      </c>
      <c r="H288" t="s">
        <v>157</v>
      </c>
      <c r="I288" t="s">
        <v>276</v>
      </c>
    </row>
    <row r="289" spans="1:9">
      <c r="A289">
        <v>361</v>
      </c>
      <c r="B289" t="s">
        <v>1093</v>
      </c>
      <c r="C289" t="s">
        <v>1094</v>
      </c>
      <c r="D289" t="s">
        <v>10</v>
      </c>
      <c r="E289" t="s">
        <v>1095</v>
      </c>
      <c r="F289" t="s">
        <v>1093</v>
      </c>
      <c r="G289" t="s">
        <v>148</v>
      </c>
      <c r="H289" t="s">
        <v>157</v>
      </c>
      <c r="I289" t="s">
        <v>276</v>
      </c>
    </row>
    <row r="290" spans="1:9">
      <c r="A290">
        <v>362</v>
      </c>
      <c r="B290" t="s">
        <v>1096</v>
      </c>
      <c r="C290" t="s">
        <v>1097</v>
      </c>
      <c r="D290" t="s">
        <v>10</v>
      </c>
      <c r="E290" t="s">
        <v>1097</v>
      </c>
      <c r="F290" t="s">
        <v>1098</v>
      </c>
      <c r="G290" t="s">
        <v>148</v>
      </c>
      <c r="H290" t="s">
        <v>157</v>
      </c>
      <c r="I290" t="s">
        <v>276</v>
      </c>
    </row>
    <row r="291" spans="1:9">
      <c r="A291">
        <v>363</v>
      </c>
      <c r="B291" t="s">
        <v>205</v>
      </c>
      <c r="C291" t="s">
        <v>206</v>
      </c>
      <c r="D291" t="s">
        <v>34</v>
      </c>
      <c r="E291" t="s">
        <v>206</v>
      </c>
      <c r="F291" t="s">
        <v>205</v>
      </c>
      <c r="G291" t="s">
        <v>188</v>
      </c>
      <c r="H291" t="s">
        <v>207</v>
      </c>
      <c r="I291" t="s">
        <v>107</v>
      </c>
    </row>
    <row r="292" spans="1:9">
      <c r="A292">
        <v>364</v>
      </c>
      <c r="B292" t="s">
        <v>1099</v>
      </c>
      <c r="C292" t="s">
        <v>1100</v>
      </c>
      <c r="D292" t="s">
        <v>10</v>
      </c>
      <c r="E292" t="s">
        <v>1100</v>
      </c>
      <c r="F292" t="s">
        <v>1099</v>
      </c>
      <c r="G292" t="s">
        <v>148</v>
      </c>
      <c r="H292" t="s">
        <v>157</v>
      </c>
      <c r="I292" t="s">
        <v>276</v>
      </c>
    </row>
    <row r="293" spans="1:9">
      <c r="A293">
        <v>365</v>
      </c>
      <c r="B293" t="s">
        <v>1101</v>
      </c>
      <c r="C293" t="s">
        <v>1102</v>
      </c>
      <c r="D293" t="s">
        <v>10</v>
      </c>
      <c r="E293" t="s">
        <v>1103</v>
      </c>
      <c r="F293" t="s">
        <v>1101</v>
      </c>
      <c r="G293" t="s">
        <v>231</v>
      </c>
      <c r="H293" t="s">
        <v>230</v>
      </c>
      <c r="I293" t="s">
        <v>276</v>
      </c>
    </row>
    <row r="294" spans="1:9">
      <c r="A294">
        <v>366</v>
      </c>
      <c r="B294" t="s">
        <v>1101</v>
      </c>
      <c r="C294" t="s">
        <v>1102</v>
      </c>
      <c r="D294" t="s">
        <v>10</v>
      </c>
      <c r="E294" t="s">
        <v>1103</v>
      </c>
      <c r="F294" t="s">
        <v>1101</v>
      </c>
      <c r="G294" t="s">
        <v>148</v>
      </c>
      <c r="H294" t="s">
        <v>160</v>
      </c>
      <c r="I294" t="s">
        <v>276</v>
      </c>
    </row>
    <row r="295" spans="1:9">
      <c r="A295">
        <v>367</v>
      </c>
      <c r="B295" t="s">
        <v>527</v>
      </c>
      <c r="C295" t="s">
        <v>528</v>
      </c>
      <c r="D295" t="s">
        <v>34</v>
      </c>
      <c r="E295" t="s">
        <v>528</v>
      </c>
      <c r="F295" t="s">
        <v>529</v>
      </c>
      <c r="G295" t="s">
        <v>148</v>
      </c>
      <c r="H295" t="s">
        <v>138</v>
      </c>
      <c r="I295" t="s">
        <v>276</v>
      </c>
    </row>
  </sheetData>
  <dataValidations count="1">
    <dataValidation type="list" allowBlank="1" showInputMessage="1" showErrorMessage="1" sqref="I2:I295" xr:uid="{00000000-0002-0000-0200-000000000000}">
      <formula1>"Delegat/a,Jugador/a"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8"/>
  <dimension ref="A3:B102"/>
  <sheetViews>
    <sheetView topLeftCell="A3" workbookViewId="0">
      <selection activeCell="A10" sqref="A10"/>
    </sheetView>
  </sheetViews>
  <sheetFormatPr baseColWidth="10" defaultRowHeight="15"/>
  <cols>
    <col min="1" max="1" width="48.7109375" bestFit="1" customWidth="1"/>
    <col min="2" max="2" width="20.85546875" bestFit="1" customWidth="1"/>
  </cols>
  <sheetData>
    <row r="3" spans="1:2">
      <c r="A3" s="34" t="s">
        <v>1104</v>
      </c>
      <c r="B3" t="s">
        <v>1105</v>
      </c>
    </row>
    <row r="4" spans="1:2">
      <c r="A4" s="35" t="s">
        <v>106</v>
      </c>
      <c r="B4">
        <v>11</v>
      </c>
    </row>
    <row r="5" spans="1:2">
      <c r="A5" s="21" t="s">
        <v>105</v>
      </c>
      <c r="B5">
        <v>1</v>
      </c>
    </row>
    <row r="6" spans="1:2">
      <c r="A6" s="21" t="s">
        <v>275</v>
      </c>
      <c r="B6">
        <v>3</v>
      </c>
    </row>
    <row r="7" spans="1:2">
      <c r="A7" s="21" t="s">
        <v>113</v>
      </c>
      <c r="B7">
        <v>3</v>
      </c>
    </row>
    <row r="8" spans="1:2">
      <c r="A8" s="21" t="s">
        <v>116</v>
      </c>
      <c r="B8">
        <v>2</v>
      </c>
    </row>
    <row r="9" spans="1:2">
      <c r="A9" s="21" t="s">
        <v>293</v>
      </c>
      <c r="B9">
        <v>1</v>
      </c>
    </row>
    <row r="10" spans="1:2">
      <c r="A10" s="21" t="s">
        <v>296</v>
      </c>
      <c r="B10">
        <v>1</v>
      </c>
    </row>
    <row r="11" spans="1:2">
      <c r="A11" s="35" t="s">
        <v>120</v>
      </c>
      <c r="B11">
        <v>101</v>
      </c>
    </row>
    <row r="12" spans="1:2">
      <c r="A12" s="21" t="s">
        <v>119</v>
      </c>
      <c r="B12">
        <v>14</v>
      </c>
    </row>
    <row r="13" spans="1:2">
      <c r="A13" s="21" t="s">
        <v>123</v>
      </c>
      <c r="B13">
        <v>12</v>
      </c>
    </row>
    <row r="14" spans="1:2">
      <c r="A14" s="21" t="s">
        <v>126</v>
      </c>
      <c r="B14">
        <v>10</v>
      </c>
    </row>
    <row r="15" spans="1:2">
      <c r="A15" s="21" t="s">
        <v>408</v>
      </c>
      <c r="B15">
        <v>10</v>
      </c>
    </row>
    <row r="16" spans="1:2">
      <c r="A16" s="21" t="s">
        <v>132</v>
      </c>
      <c r="B16">
        <v>16</v>
      </c>
    </row>
    <row r="17" spans="1:2">
      <c r="A17" s="21" t="s">
        <v>135</v>
      </c>
      <c r="B17">
        <v>10</v>
      </c>
    </row>
    <row r="18" spans="1:2">
      <c r="A18" s="21" t="s">
        <v>163</v>
      </c>
      <c r="B18">
        <v>8</v>
      </c>
    </row>
    <row r="19" spans="1:2">
      <c r="A19" s="21" t="s">
        <v>141</v>
      </c>
      <c r="B19">
        <v>11</v>
      </c>
    </row>
    <row r="20" spans="1:2">
      <c r="A20" s="21" t="s">
        <v>144</v>
      </c>
      <c r="B20">
        <v>9</v>
      </c>
    </row>
    <row r="21" spans="1:2">
      <c r="A21" s="21" t="s">
        <v>1106</v>
      </c>
      <c r="B21">
        <v>1</v>
      </c>
    </row>
    <row r="22" spans="1:2">
      <c r="A22" s="35" t="s">
        <v>148</v>
      </c>
      <c r="B22">
        <v>101</v>
      </c>
    </row>
    <row r="23" spans="1:2">
      <c r="A23" s="21" t="s">
        <v>147</v>
      </c>
      <c r="B23">
        <v>10</v>
      </c>
    </row>
    <row r="24" spans="1:2">
      <c r="A24" s="21" t="s">
        <v>151</v>
      </c>
      <c r="B24">
        <v>20</v>
      </c>
    </row>
    <row r="25" spans="1:2">
      <c r="A25" s="21" t="s">
        <v>154</v>
      </c>
      <c r="B25">
        <v>1</v>
      </c>
    </row>
    <row r="26" spans="1:2">
      <c r="A26" s="21" t="s">
        <v>157</v>
      </c>
      <c r="B26">
        <v>1</v>
      </c>
    </row>
    <row r="27" spans="1:2">
      <c r="A27" s="21" t="s">
        <v>160</v>
      </c>
      <c r="B27">
        <v>6</v>
      </c>
    </row>
    <row r="28" spans="1:2">
      <c r="A28" s="21" t="s">
        <v>163</v>
      </c>
      <c r="B28">
        <v>5</v>
      </c>
    </row>
    <row r="29" spans="1:2">
      <c r="A29" s="21" t="s">
        <v>166</v>
      </c>
      <c r="B29">
        <v>2</v>
      </c>
    </row>
    <row r="30" spans="1:2">
      <c r="A30" s="21" t="s">
        <v>698</v>
      </c>
      <c r="B30">
        <v>1</v>
      </c>
    </row>
    <row r="31" spans="1:2">
      <c r="A31" s="21" t="s">
        <v>169</v>
      </c>
      <c r="B31">
        <v>11</v>
      </c>
    </row>
    <row r="32" spans="1:2">
      <c r="A32" s="21" t="s">
        <v>172</v>
      </c>
      <c r="B32">
        <v>9</v>
      </c>
    </row>
    <row r="33" spans="1:2">
      <c r="A33" s="21" t="s">
        <v>175</v>
      </c>
      <c r="B33">
        <v>13</v>
      </c>
    </row>
    <row r="34" spans="1:2">
      <c r="A34" s="21" t="s">
        <v>178</v>
      </c>
      <c r="B34">
        <v>1</v>
      </c>
    </row>
    <row r="35" spans="1:2">
      <c r="A35" s="21" t="s">
        <v>181</v>
      </c>
      <c r="B35">
        <v>9</v>
      </c>
    </row>
    <row r="36" spans="1:2">
      <c r="A36" s="21" t="s">
        <v>184</v>
      </c>
      <c r="B36">
        <v>12</v>
      </c>
    </row>
    <row r="37" spans="1:2">
      <c r="A37" s="35" t="s">
        <v>872</v>
      </c>
      <c r="B37">
        <v>9</v>
      </c>
    </row>
    <row r="38" spans="1:2">
      <c r="A38" s="21" t="s">
        <v>873</v>
      </c>
      <c r="B38">
        <v>9</v>
      </c>
    </row>
    <row r="39" spans="1:2">
      <c r="A39" s="35" t="s">
        <v>188</v>
      </c>
      <c r="B39">
        <v>25</v>
      </c>
    </row>
    <row r="40" spans="1:2">
      <c r="A40" s="21" t="s">
        <v>187</v>
      </c>
      <c r="B40">
        <v>1</v>
      </c>
    </row>
    <row r="41" spans="1:2">
      <c r="A41" s="21" t="s">
        <v>191</v>
      </c>
      <c r="B41">
        <v>2</v>
      </c>
    </row>
    <row r="42" spans="1:2">
      <c r="A42" s="21" t="s">
        <v>194</v>
      </c>
      <c r="B42">
        <v>1</v>
      </c>
    </row>
    <row r="43" spans="1:2">
      <c r="A43" s="21" t="s">
        <v>195</v>
      </c>
      <c r="B43">
        <v>1</v>
      </c>
    </row>
    <row r="44" spans="1:2">
      <c r="A44" s="21" t="s">
        <v>198</v>
      </c>
      <c r="B44">
        <v>3</v>
      </c>
    </row>
    <row r="45" spans="1:2">
      <c r="A45" s="21" t="s">
        <v>201</v>
      </c>
      <c r="B45">
        <v>2</v>
      </c>
    </row>
    <row r="46" spans="1:2">
      <c r="A46" s="21" t="s">
        <v>204</v>
      </c>
      <c r="B46">
        <v>1</v>
      </c>
    </row>
    <row r="47" spans="1:2">
      <c r="A47" s="21" t="s">
        <v>921</v>
      </c>
      <c r="B47">
        <v>2</v>
      </c>
    </row>
    <row r="48" spans="1:2">
      <c r="A48" s="21" t="s">
        <v>210</v>
      </c>
      <c r="B48">
        <v>1</v>
      </c>
    </row>
    <row r="49" spans="1:2">
      <c r="A49" s="21" t="s">
        <v>213</v>
      </c>
      <c r="B49">
        <v>1</v>
      </c>
    </row>
    <row r="50" spans="1:2">
      <c r="A50" s="21" t="s">
        <v>216</v>
      </c>
      <c r="B50">
        <v>2</v>
      </c>
    </row>
    <row r="51" spans="1:2">
      <c r="A51" s="21" t="s">
        <v>219</v>
      </c>
      <c r="B51">
        <v>3</v>
      </c>
    </row>
    <row r="52" spans="1:2">
      <c r="A52" s="21" t="s">
        <v>222</v>
      </c>
      <c r="B52">
        <v>1</v>
      </c>
    </row>
    <row r="53" spans="1:2">
      <c r="A53" s="21" t="s">
        <v>225</v>
      </c>
      <c r="B53">
        <v>3</v>
      </c>
    </row>
    <row r="54" spans="1:2">
      <c r="A54" s="21" t="s">
        <v>227</v>
      </c>
      <c r="B54">
        <v>1</v>
      </c>
    </row>
    <row r="55" spans="1:2">
      <c r="A55" s="35" t="s">
        <v>231</v>
      </c>
      <c r="B55">
        <v>6</v>
      </c>
    </row>
    <row r="56" spans="1:2">
      <c r="A56" s="21" t="s">
        <v>230</v>
      </c>
      <c r="B56">
        <v>1</v>
      </c>
    </row>
    <row r="57" spans="1:2">
      <c r="A57" s="21" t="s">
        <v>234</v>
      </c>
      <c r="B57">
        <v>1</v>
      </c>
    </row>
    <row r="58" spans="1:2">
      <c r="A58" s="21" t="s">
        <v>237</v>
      </c>
      <c r="B58">
        <v>3</v>
      </c>
    </row>
    <row r="59" spans="1:2">
      <c r="A59" s="21" t="s">
        <v>240</v>
      </c>
      <c r="B59">
        <v>1</v>
      </c>
    </row>
    <row r="60" spans="1:2">
      <c r="A60" s="35" t="s">
        <v>244</v>
      </c>
      <c r="B60">
        <v>44</v>
      </c>
    </row>
    <row r="61" spans="1:2">
      <c r="A61" s="21" t="s">
        <v>243</v>
      </c>
      <c r="B61">
        <v>1</v>
      </c>
    </row>
    <row r="62" spans="1:2">
      <c r="A62" s="21" t="s">
        <v>247</v>
      </c>
      <c r="B62">
        <v>4</v>
      </c>
    </row>
    <row r="63" spans="1:2">
      <c r="A63" s="21" t="s">
        <v>250</v>
      </c>
      <c r="B63">
        <v>3</v>
      </c>
    </row>
    <row r="64" spans="1:2">
      <c r="A64" s="21" t="s">
        <v>253</v>
      </c>
      <c r="B64">
        <v>5</v>
      </c>
    </row>
    <row r="65" spans="1:2">
      <c r="A65" s="21" t="s">
        <v>256</v>
      </c>
      <c r="B65">
        <v>5</v>
      </c>
    </row>
    <row r="66" spans="1:2">
      <c r="A66" s="21" t="s">
        <v>259</v>
      </c>
      <c r="B66">
        <v>1</v>
      </c>
    </row>
    <row r="67" spans="1:2">
      <c r="A67" s="21" t="s">
        <v>262</v>
      </c>
      <c r="B67">
        <v>1</v>
      </c>
    </row>
    <row r="68" spans="1:2">
      <c r="A68" s="21" t="s">
        <v>1107</v>
      </c>
      <c r="B68">
        <v>8</v>
      </c>
    </row>
    <row r="69" spans="1:2">
      <c r="A69" s="21" t="s">
        <v>986</v>
      </c>
      <c r="B69">
        <v>1</v>
      </c>
    </row>
    <row r="70" spans="1:2">
      <c r="A70" s="21" t="s">
        <v>263</v>
      </c>
      <c r="B70">
        <v>7</v>
      </c>
    </row>
    <row r="71" spans="1:2">
      <c r="A71" s="21" t="s">
        <v>266</v>
      </c>
      <c r="B71">
        <v>4</v>
      </c>
    </row>
    <row r="72" spans="1:2">
      <c r="A72" s="21" t="s">
        <v>269</v>
      </c>
      <c r="B72">
        <v>4</v>
      </c>
    </row>
    <row r="73" spans="1:2">
      <c r="A73" s="35" t="s">
        <v>37</v>
      </c>
      <c r="B73">
        <v>6</v>
      </c>
    </row>
    <row r="74" spans="1:2">
      <c r="A74" s="21" t="s">
        <v>47</v>
      </c>
      <c r="B74">
        <v>1</v>
      </c>
    </row>
    <row r="75" spans="1:2">
      <c r="A75" s="21" t="s">
        <v>79</v>
      </c>
      <c r="B75">
        <v>1</v>
      </c>
    </row>
    <row r="76" spans="1:2">
      <c r="A76" s="21" t="s">
        <v>95</v>
      </c>
      <c r="B76">
        <v>1</v>
      </c>
    </row>
    <row r="77" spans="1:2">
      <c r="A77" s="21" t="s">
        <v>35</v>
      </c>
      <c r="B77">
        <v>1</v>
      </c>
    </row>
    <row r="78" spans="1:2">
      <c r="A78" s="21" t="s">
        <v>50</v>
      </c>
      <c r="B78">
        <v>1</v>
      </c>
    </row>
    <row r="79" spans="1:2">
      <c r="A79" s="21" t="s">
        <v>40</v>
      </c>
      <c r="B79">
        <v>1</v>
      </c>
    </row>
    <row r="80" spans="1:2">
      <c r="A80" s="35" t="s">
        <v>13</v>
      </c>
      <c r="B80">
        <v>21</v>
      </c>
    </row>
    <row r="81" spans="1:2">
      <c r="A81" s="21" t="s">
        <v>40</v>
      </c>
      <c r="B81">
        <v>1</v>
      </c>
    </row>
    <row r="82" spans="1:2">
      <c r="A82" s="21" t="s">
        <v>31</v>
      </c>
      <c r="B82">
        <v>1</v>
      </c>
    </row>
    <row r="83" spans="1:2">
      <c r="A83" s="21" t="s">
        <v>57</v>
      </c>
      <c r="B83">
        <v>1</v>
      </c>
    </row>
    <row r="84" spans="1:2">
      <c r="A84" s="21" t="s">
        <v>77</v>
      </c>
      <c r="B84">
        <v>1</v>
      </c>
    </row>
    <row r="85" spans="1:2">
      <c r="A85" s="21" t="s">
        <v>60</v>
      </c>
      <c r="B85">
        <v>1</v>
      </c>
    </row>
    <row r="86" spans="1:2">
      <c r="A86" s="21" t="s">
        <v>53</v>
      </c>
      <c r="B86">
        <v>1</v>
      </c>
    </row>
    <row r="87" spans="1:2">
      <c r="A87" s="21" t="s">
        <v>74</v>
      </c>
      <c r="B87">
        <v>1</v>
      </c>
    </row>
    <row r="88" spans="1:2">
      <c r="A88" s="21" t="s">
        <v>19</v>
      </c>
      <c r="B88">
        <v>1</v>
      </c>
    </row>
    <row r="89" spans="1:2">
      <c r="A89" s="21" t="s">
        <v>85</v>
      </c>
      <c r="B89">
        <v>1</v>
      </c>
    </row>
    <row r="90" spans="1:2">
      <c r="A90" s="21" t="s">
        <v>29</v>
      </c>
      <c r="B90">
        <v>1</v>
      </c>
    </row>
    <row r="91" spans="1:2">
      <c r="A91" s="21" t="s">
        <v>26</v>
      </c>
      <c r="B91">
        <v>1</v>
      </c>
    </row>
    <row r="92" spans="1:2">
      <c r="A92" s="21" t="s">
        <v>91</v>
      </c>
      <c r="B92">
        <v>1</v>
      </c>
    </row>
    <row r="93" spans="1:2">
      <c r="A93" s="21" t="s">
        <v>44</v>
      </c>
      <c r="B93">
        <v>1</v>
      </c>
    </row>
    <row r="94" spans="1:2">
      <c r="A94" s="21" t="s">
        <v>70</v>
      </c>
      <c r="B94">
        <v>1</v>
      </c>
    </row>
    <row r="95" spans="1:2">
      <c r="A95" s="21" t="s">
        <v>15</v>
      </c>
      <c r="B95">
        <v>1</v>
      </c>
    </row>
    <row r="96" spans="1:2">
      <c r="A96" s="21" t="s">
        <v>63</v>
      </c>
      <c r="B96">
        <v>1</v>
      </c>
    </row>
    <row r="97" spans="1:2">
      <c r="A97" s="21" t="s">
        <v>98</v>
      </c>
      <c r="B97">
        <v>1</v>
      </c>
    </row>
    <row r="98" spans="1:2">
      <c r="A98" s="21" t="s">
        <v>82</v>
      </c>
      <c r="B98">
        <v>1</v>
      </c>
    </row>
    <row r="99" spans="1:2">
      <c r="A99" s="21" t="s">
        <v>88</v>
      </c>
      <c r="B99">
        <v>1</v>
      </c>
    </row>
    <row r="100" spans="1:2">
      <c r="A100" s="21" t="s">
        <v>66</v>
      </c>
      <c r="B100">
        <v>1</v>
      </c>
    </row>
    <row r="101" spans="1:2">
      <c r="A101" s="21" t="s">
        <v>22</v>
      </c>
      <c r="B101">
        <v>1</v>
      </c>
    </row>
    <row r="102" spans="1:2">
      <c r="A102" s="35" t="s">
        <v>1108</v>
      </c>
      <c r="B102">
        <v>324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12"/>
  <dimension ref="A1:K325"/>
  <sheetViews>
    <sheetView topLeftCell="A27" workbookViewId="0">
      <selection activeCell="B33" sqref="B33"/>
    </sheetView>
  </sheetViews>
  <sheetFormatPr baseColWidth="10" defaultRowHeight="15"/>
  <cols>
    <col min="1" max="1" width="24.5703125" customWidth="1"/>
    <col min="2" max="2" width="25" customWidth="1"/>
    <col min="3" max="4" width="24.7109375" customWidth="1"/>
    <col min="5" max="5" width="30" customWidth="1"/>
    <col min="6" max="6" width="26.7109375" customWidth="1"/>
    <col min="7" max="7" width="30.7109375" customWidth="1"/>
    <col min="8" max="9" width="17.7109375" customWidth="1"/>
  </cols>
  <sheetData>
    <row r="1" spans="1:11">
      <c r="A1" s="32" t="s">
        <v>1109</v>
      </c>
      <c r="B1" s="32" t="s">
        <v>1110</v>
      </c>
      <c r="C1" s="32" t="s">
        <v>102</v>
      </c>
      <c r="D1" s="31" t="s">
        <v>1111</v>
      </c>
      <c r="E1" s="31" t="s">
        <v>1112</v>
      </c>
      <c r="F1" s="31" t="s">
        <v>1113</v>
      </c>
      <c r="G1" s="31" t="s">
        <v>1114</v>
      </c>
      <c r="H1" s="31" t="s">
        <v>1115</v>
      </c>
      <c r="I1" s="31" t="s">
        <v>1842</v>
      </c>
      <c r="J1" s="31" t="s">
        <v>1969</v>
      </c>
      <c r="K1" s="31" t="s">
        <v>1970</v>
      </c>
    </row>
    <row r="2" spans="1:11">
      <c r="A2" t="s">
        <v>37</v>
      </c>
      <c r="B2" t="s">
        <v>47</v>
      </c>
      <c r="C2" t="s">
        <v>276</v>
      </c>
      <c r="D2" s="47" t="s">
        <v>1116</v>
      </c>
      <c r="E2" t="s">
        <v>47</v>
      </c>
      <c r="F2" t="s">
        <v>46</v>
      </c>
      <c r="G2" t="s">
        <v>46</v>
      </c>
      <c r="H2" s="62">
        <f>SUMIF(Assistencies!B:B, D2, Assistencies!F:F)</f>
        <v>0</v>
      </c>
      <c r="I2" s="62">
        <f>SUMIF(Assistencies!B:B, D2, Assistencies!H:H)</f>
        <v>0</v>
      </c>
      <c r="J2">
        <f>SUMIF(Assistencies!B:B, D2, Assistencies!I:I)</f>
        <v>0</v>
      </c>
      <c r="K2">
        <f>SUMIF(Assistencies!B:B, D2, Assistencies!J:J)</f>
        <v>0</v>
      </c>
    </row>
    <row r="3" spans="1:11">
      <c r="A3" t="s">
        <v>37</v>
      </c>
      <c r="B3" t="s">
        <v>79</v>
      </c>
      <c r="C3" t="s">
        <v>276</v>
      </c>
      <c r="D3" s="47" t="s">
        <v>1117</v>
      </c>
      <c r="E3" t="s">
        <v>79</v>
      </c>
      <c r="F3" t="s">
        <v>78</v>
      </c>
      <c r="G3" t="s">
        <v>78</v>
      </c>
      <c r="H3" s="62">
        <f>SUMIF(Assistencies!B:B, D3, Assistencies!F:F)</f>
        <v>0</v>
      </c>
      <c r="I3" s="62">
        <f>SUMIF(Assistencies!B:B, D3, Assistencies!H:H)</f>
        <v>0</v>
      </c>
      <c r="J3">
        <f>SUMIF(Assistencies!B:B, D3, Assistencies!I:I)</f>
        <v>0</v>
      </c>
      <c r="K3">
        <f>SUMIF(Assistencies!B:B, D3, Assistencies!J:J)</f>
        <v>0</v>
      </c>
    </row>
    <row r="4" spans="1:11">
      <c r="A4" t="s">
        <v>37</v>
      </c>
      <c r="B4" t="s">
        <v>95</v>
      </c>
      <c r="C4" t="s">
        <v>276</v>
      </c>
      <c r="D4" s="47" t="s">
        <v>1118</v>
      </c>
      <c r="E4" t="s">
        <v>95</v>
      </c>
      <c r="F4" t="s">
        <v>93</v>
      </c>
      <c r="G4" t="s">
        <v>96</v>
      </c>
      <c r="H4" s="62">
        <f>SUMIF(Assistencies!B:B, D4, Assistencies!F:F)</f>
        <v>0</v>
      </c>
      <c r="I4" s="62">
        <f>SUMIF(Assistencies!B:B, D4, Assistencies!H:H)</f>
        <v>0</v>
      </c>
      <c r="J4">
        <f>SUMIF(Assistencies!B:B, D4, Assistencies!I:I)</f>
        <v>0</v>
      </c>
      <c r="K4">
        <f>SUMIF(Assistencies!B:B, D4, Assistencies!J:J)</f>
        <v>0</v>
      </c>
    </row>
    <row r="5" spans="1:11">
      <c r="A5" t="s">
        <v>37</v>
      </c>
      <c r="B5" t="s">
        <v>35</v>
      </c>
      <c r="C5" t="s">
        <v>276</v>
      </c>
      <c r="D5" s="47" t="s">
        <v>1119</v>
      </c>
      <c r="E5" t="s">
        <v>35</v>
      </c>
      <c r="F5" t="s">
        <v>32</v>
      </c>
      <c r="G5" t="s">
        <v>36</v>
      </c>
      <c r="H5" s="62">
        <f>SUMIF(Assistencies!B:B, D5, Assistencies!F:F)</f>
        <v>0</v>
      </c>
      <c r="I5" s="62">
        <f>SUMIF(Assistencies!B:B, D5, Assistencies!H:H)</f>
        <v>0</v>
      </c>
      <c r="J5">
        <f>SUMIF(Assistencies!B:B, D5, Assistencies!I:I)</f>
        <v>0</v>
      </c>
      <c r="K5">
        <f>SUMIF(Assistencies!B:B, D5, Assistencies!J:J)</f>
        <v>0</v>
      </c>
    </row>
    <row r="6" spans="1:11">
      <c r="A6" t="s">
        <v>37</v>
      </c>
      <c r="B6" t="s">
        <v>50</v>
      </c>
      <c r="C6" t="s">
        <v>276</v>
      </c>
      <c r="D6" s="47" t="s">
        <v>1120</v>
      </c>
      <c r="E6" t="s">
        <v>50</v>
      </c>
      <c r="F6" t="s">
        <v>48</v>
      </c>
      <c r="G6" t="s">
        <v>51</v>
      </c>
      <c r="H6" s="62">
        <f>SUMIF(Assistencies!B:B, D6, Assistencies!F:F)</f>
        <v>0</v>
      </c>
      <c r="I6" s="62">
        <f>SUMIF(Assistencies!B:B, D6, Assistencies!H:H)</f>
        <v>0</v>
      </c>
      <c r="J6">
        <f>SUMIF(Assistencies!B:B, D6, Assistencies!I:I)</f>
        <v>0</v>
      </c>
      <c r="K6">
        <f>SUMIF(Assistencies!B:B, D6, Assistencies!J:J)</f>
        <v>0</v>
      </c>
    </row>
    <row r="7" spans="1:11">
      <c r="A7" t="s">
        <v>37</v>
      </c>
      <c r="B7" t="s">
        <v>40</v>
      </c>
      <c r="C7" t="s">
        <v>276</v>
      </c>
      <c r="D7" s="47" t="s">
        <v>1121</v>
      </c>
      <c r="E7" t="s">
        <v>40</v>
      </c>
      <c r="F7" t="s">
        <v>38</v>
      </c>
      <c r="G7" t="s">
        <v>41</v>
      </c>
      <c r="H7" s="62">
        <f>SUMIF(Assistencies!B:B, D7, Assistencies!F:F)</f>
        <v>0</v>
      </c>
      <c r="I7" s="62">
        <f>SUMIF(Assistencies!B:B, D7, Assistencies!H:H)</f>
        <v>0</v>
      </c>
      <c r="J7">
        <f>SUMIF(Assistencies!B:B, D7, Assistencies!I:I)</f>
        <v>0</v>
      </c>
      <c r="K7">
        <f>SUMIF(Assistencies!B:B, D7, Assistencies!J:J)</f>
        <v>0</v>
      </c>
    </row>
    <row r="8" spans="1:11">
      <c r="A8" t="s">
        <v>106</v>
      </c>
      <c r="B8" t="s">
        <v>105</v>
      </c>
      <c r="C8" t="s">
        <v>107</v>
      </c>
      <c r="D8" s="47" t="s">
        <v>1122</v>
      </c>
      <c r="E8" t="s">
        <v>104</v>
      </c>
      <c r="F8" t="s">
        <v>103</v>
      </c>
      <c r="G8" t="s">
        <v>103</v>
      </c>
      <c r="H8" s="62">
        <f>SUMIF(Assistencies!B:B, D8, Assistencies!F:F)</f>
        <v>0</v>
      </c>
      <c r="I8" s="62">
        <f>SUMIF(Assistencies!B:B, D8, Assistencies!H:H)</f>
        <v>0</v>
      </c>
      <c r="J8">
        <f>SUMIF(Assistencies!B:B, D8, Assistencies!I:I)</f>
        <v>0</v>
      </c>
      <c r="K8">
        <f>SUMIF(Assistencies!B:B, D8, Assistencies!J:J)</f>
        <v>0</v>
      </c>
    </row>
    <row r="9" spans="1:11">
      <c r="A9" t="s">
        <v>106</v>
      </c>
      <c r="B9" t="s">
        <v>275</v>
      </c>
      <c r="C9" t="s">
        <v>107</v>
      </c>
      <c r="D9" s="47" t="s">
        <v>1123</v>
      </c>
      <c r="E9" t="s">
        <v>109</v>
      </c>
      <c r="F9" t="s">
        <v>108</v>
      </c>
      <c r="G9" t="s">
        <v>277</v>
      </c>
      <c r="H9" s="62">
        <f>SUMIF(Assistencies!B:B, D9, Assistencies!F:F)</f>
        <v>0</v>
      </c>
      <c r="I9" s="62">
        <f>SUMIF(Assistencies!B:B, D9, Assistencies!H:H)</f>
        <v>0</v>
      </c>
      <c r="J9">
        <f>SUMIF(Assistencies!B:B, D9, Assistencies!I:I)</f>
        <v>0</v>
      </c>
      <c r="K9">
        <f>SUMIF(Assistencies!B:B, D9, Assistencies!J:J)</f>
        <v>0</v>
      </c>
    </row>
    <row r="10" spans="1:11">
      <c r="A10" t="s">
        <v>106</v>
      </c>
      <c r="B10" t="s">
        <v>275</v>
      </c>
      <c r="C10" t="s">
        <v>276</v>
      </c>
      <c r="D10" s="47" t="s">
        <v>1124</v>
      </c>
      <c r="E10" t="s">
        <v>273</v>
      </c>
      <c r="F10" t="s">
        <v>271</v>
      </c>
      <c r="G10" t="s">
        <v>274</v>
      </c>
      <c r="H10" s="62">
        <f>SUMIF(Assistencies!B:B, D10, Assistencies!F:F)</f>
        <v>0</v>
      </c>
      <c r="I10" s="62">
        <f>SUMIF(Assistencies!B:B, D10, Assistencies!H:H)</f>
        <v>0</v>
      </c>
      <c r="J10">
        <f>SUMIF(Assistencies!B:B, D10, Assistencies!I:I)</f>
        <v>0</v>
      </c>
      <c r="K10">
        <f>SUMIF(Assistencies!B:B, D10, Assistencies!J:J)</f>
        <v>0</v>
      </c>
    </row>
    <row r="11" spans="1:11">
      <c r="A11" t="s">
        <v>106</v>
      </c>
      <c r="B11" t="s">
        <v>275</v>
      </c>
      <c r="C11" t="s">
        <v>276</v>
      </c>
      <c r="D11" s="47" t="s">
        <v>1125</v>
      </c>
      <c r="E11" t="s">
        <v>279</v>
      </c>
      <c r="F11" t="s">
        <v>278</v>
      </c>
      <c r="G11" t="s">
        <v>280</v>
      </c>
      <c r="H11" s="62">
        <f>SUMIF(Assistencies!B:B, D11, Assistencies!F:F)</f>
        <v>0</v>
      </c>
      <c r="I11" s="62">
        <f>SUMIF(Assistencies!B:B, D11, Assistencies!H:H)</f>
        <v>0</v>
      </c>
      <c r="J11">
        <f>SUMIF(Assistencies!B:B, D11, Assistencies!I:I)</f>
        <v>0</v>
      </c>
      <c r="K11">
        <f>SUMIF(Assistencies!B:B, D11, Assistencies!J:J)</f>
        <v>0</v>
      </c>
    </row>
    <row r="12" spans="1:11">
      <c r="A12" t="s">
        <v>106</v>
      </c>
      <c r="B12" t="s">
        <v>113</v>
      </c>
      <c r="C12" t="s">
        <v>107</v>
      </c>
      <c r="D12" s="47" t="s">
        <v>1126</v>
      </c>
      <c r="E12" t="s">
        <v>112</v>
      </c>
      <c r="F12" t="s">
        <v>111</v>
      </c>
      <c r="G12" t="s">
        <v>287</v>
      </c>
      <c r="H12" s="62">
        <f>SUMIF(Assistencies!B:B, D12, Assistencies!F:F)</f>
        <v>0</v>
      </c>
      <c r="I12" s="62">
        <f>SUMIF(Assistencies!B:B, D12, Assistencies!H:H)</f>
        <v>0</v>
      </c>
      <c r="J12">
        <f>SUMIF(Assistencies!B:B, D12, Assistencies!I:I)</f>
        <v>0</v>
      </c>
      <c r="K12">
        <f>SUMIF(Assistencies!B:B, D12, Assistencies!J:J)</f>
        <v>0</v>
      </c>
    </row>
    <row r="13" spans="1:11">
      <c r="A13" t="s">
        <v>106</v>
      </c>
      <c r="B13" t="s">
        <v>113</v>
      </c>
      <c r="C13" t="s">
        <v>276</v>
      </c>
      <c r="D13" s="47" t="s">
        <v>1127</v>
      </c>
      <c r="E13" t="s">
        <v>282</v>
      </c>
      <c r="F13" t="s">
        <v>281</v>
      </c>
      <c r="G13" t="s">
        <v>283</v>
      </c>
      <c r="H13" s="62">
        <f>SUMIF(Assistencies!B:B, D13, Assistencies!F:F)</f>
        <v>0</v>
      </c>
      <c r="I13" s="62">
        <f>SUMIF(Assistencies!B:B, D13, Assistencies!H:H)</f>
        <v>0</v>
      </c>
      <c r="J13">
        <f>SUMIF(Assistencies!B:B, D13, Assistencies!I:I)</f>
        <v>0</v>
      </c>
      <c r="K13">
        <f>SUMIF(Assistencies!B:B, D13, Assistencies!J:J)</f>
        <v>0</v>
      </c>
    </row>
    <row r="14" spans="1:11">
      <c r="A14" t="s">
        <v>106</v>
      </c>
      <c r="B14" t="s">
        <v>113</v>
      </c>
      <c r="C14" t="s">
        <v>276</v>
      </c>
      <c r="D14" s="47" t="s">
        <v>1128</v>
      </c>
      <c r="E14" t="s">
        <v>285</v>
      </c>
      <c r="F14" t="s">
        <v>284</v>
      </c>
      <c r="G14" t="s">
        <v>286</v>
      </c>
      <c r="H14" s="62">
        <f>SUMIF(Assistencies!B:B, D14, Assistencies!F:F)</f>
        <v>0</v>
      </c>
      <c r="I14" s="62">
        <f>SUMIF(Assistencies!B:B, D14, Assistencies!H:H)</f>
        <v>0</v>
      </c>
      <c r="J14">
        <f>SUMIF(Assistencies!B:B, D14, Assistencies!I:I)</f>
        <v>0</v>
      </c>
      <c r="K14">
        <f>SUMIF(Assistencies!B:B, D14, Assistencies!J:J)</f>
        <v>0</v>
      </c>
    </row>
    <row r="15" spans="1:11">
      <c r="A15" t="s">
        <v>106</v>
      </c>
      <c r="B15" t="s">
        <v>116</v>
      </c>
      <c r="C15" t="s">
        <v>107</v>
      </c>
      <c r="D15" s="47" t="s">
        <v>1129</v>
      </c>
      <c r="E15" t="s">
        <v>115</v>
      </c>
      <c r="F15" t="s">
        <v>114</v>
      </c>
      <c r="G15" t="s">
        <v>295</v>
      </c>
      <c r="H15" s="62">
        <f>SUMIF(Assistencies!B:B, D15, Assistencies!F:F)</f>
        <v>0</v>
      </c>
      <c r="I15" s="62">
        <f>SUMIF(Assistencies!B:B, D15, Assistencies!H:H)</f>
        <v>0</v>
      </c>
      <c r="J15">
        <f>SUMIF(Assistencies!B:B, D15, Assistencies!I:I)</f>
        <v>0</v>
      </c>
      <c r="K15">
        <f>SUMIF(Assistencies!B:B, D15, Assistencies!J:J)</f>
        <v>0</v>
      </c>
    </row>
    <row r="16" spans="1:11">
      <c r="A16" t="s">
        <v>106</v>
      </c>
      <c r="B16" t="s">
        <v>116</v>
      </c>
      <c r="C16" t="s">
        <v>276</v>
      </c>
      <c r="D16" s="47" t="s">
        <v>1130</v>
      </c>
      <c r="E16" t="s">
        <v>290</v>
      </c>
      <c r="F16" t="s">
        <v>288</v>
      </c>
      <c r="G16" t="s">
        <v>291</v>
      </c>
      <c r="H16" s="62">
        <f>SUMIF(Assistencies!B:B, D16, Assistencies!F:F)</f>
        <v>0</v>
      </c>
      <c r="I16" s="62">
        <f>SUMIF(Assistencies!B:B, D16, Assistencies!H:H)</f>
        <v>0</v>
      </c>
      <c r="J16">
        <f>SUMIF(Assistencies!B:B, D16, Assistencies!I:I)</f>
        <v>0</v>
      </c>
      <c r="K16">
        <f>SUMIF(Assistencies!B:B, D16, Assistencies!J:J)</f>
        <v>0</v>
      </c>
    </row>
    <row r="17" spans="1:11">
      <c r="A17" t="s">
        <v>106</v>
      </c>
      <c r="B17" t="s">
        <v>293</v>
      </c>
      <c r="C17" t="s">
        <v>107</v>
      </c>
      <c r="D17" s="47" t="s">
        <v>1131</v>
      </c>
      <c r="E17" t="s">
        <v>209</v>
      </c>
      <c r="F17" t="s">
        <v>208</v>
      </c>
      <c r="G17" t="s">
        <v>292</v>
      </c>
      <c r="H17" s="62">
        <f>SUMIF(Assistencies!B:B, D17, Assistencies!F:F)</f>
        <v>0</v>
      </c>
      <c r="I17" s="62">
        <f>SUMIF(Assistencies!B:B, D17, Assistencies!H:H)</f>
        <v>0</v>
      </c>
      <c r="J17">
        <f>SUMIF(Assistencies!B:B, D17, Assistencies!I:I)</f>
        <v>0</v>
      </c>
      <c r="K17">
        <f>SUMIF(Assistencies!B:B, D17, Assistencies!J:J)</f>
        <v>0</v>
      </c>
    </row>
    <row r="18" spans="1:11">
      <c r="A18" t="s">
        <v>106</v>
      </c>
      <c r="B18" t="s">
        <v>296</v>
      </c>
      <c r="C18" t="s">
        <v>276</v>
      </c>
      <c r="D18" s="47" t="s">
        <v>1132</v>
      </c>
      <c r="E18" t="s">
        <v>294</v>
      </c>
      <c r="F18" t="s">
        <v>114</v>
      </c>
      <c r="G18" t="s">
        <v>295</v>
      </c>
      <c r="H18" s="62">
        <f>SUMIF(Assistencies!B:B, D18, Assistencies!F:F)</f>
        <v>0</v>
      </c>
      <c r="I18" s="62">
        <f>SUMIF(Assistencies!B:B, D18, Assistencies!H:H)</f>
        <v>0</v>
      </c>
      <c r="J18">
        <f>SUMIF(Assistencies!B:B, D18, Assistencies!I:I)</f>
        <v>0</v>
      </c>
      <c r="K18">
        <f>SUMIF(Assistencies!B:B, D18, Assistencies!J:J)</f>
        <v>0</v>
      </c>
    </row>
    <row r="19" spans="1:11">
      <c r="A19" t="s">
        <v>120</v>
      </c>
      <c r="B19" t="s">
        <v>119</v>
      </c>
      <c r="C19" t="s">
        <v>107</v>
      </c>
      <c r="D19" s="47" t="s">
        <v>1133</v>
      </c>
      <c r="E19" t="s">
        <v>118</v>
      </c>
      <c r="F19" t="s">
        <v>117</v>
      </c>
      <c r="G19" t="s">
        <v>316</v>
      </c>
      <c r="H19" s="62">
        <f>SUMIF(Assistencies!B:B, D19, Assistencies!F:F)</f>
        <v>0</v>
      </c>
      <c r="I19" s="62">
        <f>SUMIF(Assistencies!B:B, D19, Assistencies!H:H)</f>
        <v>0</v>
      </c>
      <c r="J19">
        <f>SUMIF(Assistencies!B:B, D19, Assistencies!I:I)</f>
        <v>0</v>
      </c>
      <c r="K19">
        <f>SUMIF(Assistencies!B:B, D19, Assistencies!J:J)</f>
        <v>0</v>
      </c>
    </row>
    <row r="20" spans="1:11">
      <c r="A20" t="s">
        <v>120</v>
      </c>
      <c r="B20" t="s">
        <v>119</v>
      </c>
      <c r="C20" t="s">
        <v>276</v>
      </c>
      <c r="D20" s="47" t="s">
        <v>1134</v>
      </c>
      <c r="E20" t="s">
        <v>299</v>
      </c>
      <c r="F20" t="s">
        <v>297</v>
      </c>
      <c r="G20" t="s">
        <v>300</v>
      </c>
      <c r="H20" s="62">
        <f>SUMIF(Assistencies!B:B, D20, Assistencies!F:F)</f>
        <v>0</v>
      </c>
      <c r="I20" s="62">
        <f>SUMIF(Assistencies!B:B, D20, Assistencies!H:H)</f>
        <v>0</v>
      </c>
      <c r="J20">
        <f>SUMIF(Assistencies!B:B, D20, Assistencies!I:I)</f>
        <v>0</v>
      </c>
      <c r="K20">
        <f>SUMIF(Assistencies!B:B, D20, Assistencies!J:J)</f>
        <v>0</v>
      </c>
    </row>
    <row r="21" spans="1:11">
      <c r="A21" t="s">
        <v>120</v>
      </c>
      <c r="B21" t="s">
        <v>119</v>
      </c>
      <c r="C21" t="s">
        <v>276</v>
      </c>
      <c r="D21" s="47" t="s">
        <v>1135</v>
      </c>
      <c r="E21" t="s">
        <v>302</v>
      </c>
      <c r="F21" t="s">
        <v>301</v>
      </c>
      <c r="G21" t="s">
        <v>303</v>
      </c>
      <c r="H21" s="62">
        <f>SUMIF(Assistencies!B:B, D21, Assistencies!F:F)</f>
        <v>0</v>
      </c>
      <c r="I21" s="62">
        <f>SUMIF(Assistencies!B:B, D21, Assistencies!H:H)</f>
        <v>0</v>
      </c>
      <c r="J21">
        <f>SUMIF(Assistencies!B:B, D21, Assistencies!I:I)</f>
        <v>0</v>
      </c>
      <c r="K21">
        <f>SUMIF(Assistencies!B:B, D21, Assistencies!J:J)</f>
        <v>0</v>
      </c>
    </row>
    <row r="22" spans="1:11">
      <c r="A22" t="s">
        <v>120</v>
      </c>
      <c r="B22" t="s">
        <v>119</v>
      </c>
      <c r="C22" t="s">
        <v>276</v>
      </c>
      <c r="D22" s="47" t="s">
        <v>1136</v>
      </c>
      <c r="E22" t="s">
        <v>306</v>
      </c>
      <c r="F22" t="s">
        <v>304</v>
      </c>
      <c r="G22" t="s">
        <v>307</v>
      </c>
      <c r="H22" s="62">
        <f>SUMIF(Assistencies!B:B, D22, Assistencies!F:F)</f>
        <v>0</v>
      </c>
      <c r="I22" s="62">
        <f>SUMIF(Assistencies!B:B, D22, Assistencies!H:H)</f>
        <v>0</v>
      </c>
      <c r="J22">
        <f>SUMIF(Assistencies!B:B, D22, Assistencies!I:I)</f>
        <v>0</v>
      </c>
      <c r="K22">
        <f>SUMIF(Assistencies!B:B, D22, Assistencies!J:J)</f>
        <v>0</v>
      </c>
    </row>
    <row r="23" spans="1:11">
      <c r="A23" t="s">
        <v>120</v>
      </c>
      <c r="B23" t="s">
        <v>119</v>
      </c>
      <c r="C23" t="s">
        <v>276</v>
      </c>
      <c r="D23" s="47" t="s">
        <v>1137</v>
      </c>
      <c r="E23" t="s">
        <v>310</v>
      </c>
      <c r="F23" t="s">
        <v>308</v>
      </c>
      <c r="G23" t="s">
        <v>311</v>
      </c>
      <c r="H23" s="62">
        <f>SUMIF(Assistencies!B:B, D23, Assistencies!F:F)</f>
        <v>0</v>
      </c>
      <c r="I23" s="62">
        <f>SUMIF(Assistencies!B:B, D23, Assistencies!H:H)</f>
        <v>0</v>
      </c>
      <c r="J23">
        <f>SUMIF(Assistencies!B:B, D23, Assistencies!I:I)</f>
        <v>0</v>
      </c>
      <c r="K23">
        <f>SUMIF(Assistencies!B:B, D23, Assistencies!J:J)</f>
        <v>0</v>
      </c>
    </row>
    <row r="24" spans="1:11">
      <c r="A24" t="s">
        <v>120</v>
      </c>
      <c r="B24" t="s">
        <v>119</v>
      </c>
      <c r="C24" t="s">
        <v>276</v>
      </c>
      <c r="D24" s="47" t="s">
        <v>1138</v>
      </c>
      <c r="E24" t="s">
        <v>314</v>
      </c>
      <c r="F24" t="s">
        <v>312</v>
      </c>
      <c r="G24" t="s">
        <v>312</v>
      </c>
      <c r="H24" s="62">
        <f>SUMIF(Assistencies!B:B, D24, Assistencies!F:F)</f>
        <v>0</v>
      </c>
      <c r="I24" s="62">
        <f>SUMIF(Assistencies!B:B, D24, Assistencies!H:H)</f>
        <v>0</v>
      </c>
      <c r="J24">
        <f>SUMIF(Assistencies!B:B, D24, Assistencies!I:I)</f>
        <v>0</v>
      </c>
      <c r="K24">
        <f>SUMIF(Assistencies!B:B, D24, Assistencies!J:J)</f>
        <v>0</v>
      </c>
    </row>
    <row r="25" spans="1:11">
      <c r="A25" t="s">
        <v>120</v>
      </c>
      <c r="B25" t="s">
        <v>119</v>
      </c>
      <c r="C25" t="s">
        <v>276</v>
      </c>
      <c r="D25" s="47" t="s">
        <v>1139</v>
      </c>
      <c r="E25" t="s">
        <v>315</v>
      </c>
      <c r="F25" t="s">
        <v>117</v>
      </c>
      <c r="G25" t="s">
        <v>316</v>
      </c>
      <c r="H25" s="62">
        <f>SUMIF(Assistencies!B:B, D25, Assistencies!F:F)</f>
        <v>0</v>
      </c>
      <c r="I25" s="62">
        <f>SUMIF(Assistencies!B:B, D25, Assistencies!H:H)</f>
        <v>0</v>
      </c>
      <c r="J25">
        <f>SUMIF(Assistencies!B:B, D25, Assistencies!I:I)</f>
        <v>0</v>
      </c>
      <c r="K25">
        <f>SUMIF(Assistencies!B:B, D25, Assistencies!J:J)</f>
        <v>0</v>
      </c>
    </row>
    <row r="26" spans="1:11">
      <c r="A26" t="s">
        <v>120</v>
      </c>
      <c r="B26" t="s">
        <v>119</v>
      </c>
      <c r="C26" t="s">
        <v>276</v>
      </c>
      <c r="D26" s="47" t="s">
        <v>1140</v>
      </c>
      <c r="E26" t="s">
        <v>318</v>
      </c>
      <c r="F26" t="s">
        <v>317</v>
      </c>
      <c r="G26" t="s">
        <v>317</v>
      </c>
      <c r="H26" s="62">
        <f>SUMIF(Assistencies!B:B, D26, Assistencies!F:F)</f>
        <v>0</v>
      </c>
      <c r="I26" s="62">
        <f>SUMIF(Assistencies!B:B, D26, Assistencies!H:H)</f>
        <v>0</v>
      </c>
      <c r="J26">
        <f>SUMIF(Assistencies!B:B, D26, Assistencies!I:I)</f>
        <v>0</v>
      </c>
      <c r="K26">
        <f>SUMIF(Assistencies!B:B, D26, Assistencies!J:J)</f>
        <v>0</v>
      </c>
    </row>
    <row r="27" spans="1:11">
      <c r="A27" t="s">
        <v>120</v>
      </c>
      <c r="B27" t="s">
        <v>119</v>
      </c>
      <c r="C27" t="s">
        <v>276</v>
      </c>
      <c r="D27" s="47" t="s">
        <v>1141</v>
      </c>
      <c r="E27" t="s">
        <v>320</v>
      </c>
      <c r="F27" t="s">
        <v>319</v>
      </c>
      <c r="G27" t="s">
        <v>321</v>
      </c>
      <c r="H27" s="62">
        <f>SUMIF(Assistencies!B:B, D27, Assistencies!F:F)</f>
        <v>0</v>
      </c>
      <c r="I27" s="62">
        <f>SUMIF(Assistencies!B:B, D27, Assistencies!H:H)</f>
        <v>0</v>
      </c>
      <c r="J27">
        <f>SUMIF(Assistencies!B:B, D27, Assistencies!I:I)</f>
        <v>0</v>
      </c>
      <c r="K27">
        <f>SUMIF(Assistencies!B:B, D27, Assistencies!J:J)</f>
        <v>0</v>
      </c>
    </row>
    <row r="28" spans="1:11">
      <c r="A28" t="s">
        <v>120</v>
      </c>
      <c r="B28" t="s">
        <v>119</v>
      </c>
      <c r="C28" t="s">
        <v>276</v>
      </c>
      <c r="D28" s="47" t="s">
        <v>1142</v>
      </c>
      <c r="E28" t="s">
        <v>323</v>
      </c>
      <c r="F28" t="s">
        <v>322</v>
      </c>
      <c r="G28" t="s">
        <v>324</v>
      </c>
      <c r="H28" s="62">
        <f>SUMIF(Assistencies!B:B, D28, Assistencies!F:F)</f>
        <v>0</v>
      </c>
      <c r="I28" s="62">
        <f>SUMIF(Assistencies!B:B, D28, Assistencies!H:H)</f>
        <v>0</v>
      </c>
      <c r="J28">
        <f>SUMIF(Assistencies!B:B, D28, Assistencies!I:I)</f>
        <v>0</v>
      </c>
      <c r="K28">
        <f>SUMIF(Assistencies!B:B, D28, Assistencies!J:J)</f>
        <v>0</v>
      </c>
    </row>
    <row r="29" spans="1:11">
      <c r="A29" t="s">
        <v>120</v>
      </c>
      <c r="B29" t="s">
        <v>119</v>
      </c>
      <c r="C29" t="s">
        <v>276</v>
      </c>
      <c r="D29" s="47" t="s">
        <v>1143</v>
      </c>
      <c r="E29" t="s">
        <v>326</v>
      </c>
      <c r="F29" t="s">
        <v>325</v>
      </c>
      <c r="G29" t="s">
        <v>327</v>
      </c>
      <c r="H29" s="62">
        <f>SUMIF(Assistencies!B:B, D29, Assistencies!F:F)</f>
        <v>0</v>
      </c>
      <c r="I29" s="62">
        <f>SUMIF(Assistencies!B:B, D29, Assistencies!H:H)</f>
        <v>0</v>
      </c>
      <c r="J29">
        <f>SUMIF(Assistencies!B:B, D29, Assistencies!I:I)</f>
        <v>0</v>
      </c>
      <c r="K29">
        <f>SUMIF(Assistencies!B:B, D29, Assistencies!J:J)</f>
        <v>0</v>
      </c>
    </row>
    <row r="30" spans="1:11">
      <c r="A30" t="s">
        <v>120</v>
      </c>
      <c r="B30" t="s">
        <v>119</v>
      </c>
      <c r="C30" t="s">
        <v>276</v>
      </c>
      <c r="D30" s="47" t="s">
        <v>1144</v>
      </c>
      <c r="E30" t="s">
        <v>330</v>
      </c>
      <c r="F30" t="s">
        <v>328</v>
      </c>
      <c r="G30" t="s">
        <v>328</v>
      </c>
      <c r="H30" s="62">
        <f>SUMIF(Assistencies!B:B, D30, Assistencies!F:F)</f>
        <v>0</v>
      </c>
      <c r="I30" s="62">
        <f>SUMIF(Assistencies!B:B, D30, Assistencies!H:H)</f>
        <v>0</v>
      </c>
      <c r="J30">
        <f>SUMIF(Assistencies!B:B, D30, Assistencies!I:I)</f>
        <v>0</v>
      </c>
      <c r="K30">
        <f>SUMIF(Assistencies!B:B, D30, Assistencies!J:J)</f>
        <v>0</v>
      </c>
    </row>
    <row r="31" spans="1:11">
      <c r="A31" t="s">
        <v>120</v>
      </c>
      <c r="B31" t="s">
        <v>119</v>
      </c>
      <c r="C31" t="s">
        <v>276</v>
      </c>
      <c r="D31" s="47" t="s">
        <v>1145</v>
      </c>
      <c r="E31" t="s">
        <v>333</v>
      </c>
      <c r="F31" t="s">
        <v>331</v>
      </c>
      <c r="G31" t="s">
        <v>331</v>
      </c>
      <c r="H31" s="62">
        <f>SUMIF(Assistencies!B:B, D31, Assistencies!F:F)</f>
        <v>0</v>
      </c>
      <c r="I31" s="62">
        <f>SUMIF(Assistencies!B:B, D31, Assistencies!H:H)</f>
        <v>0</v>
      </c>
      <c r="J31">
        <f>SUMIF(Assistencies!B:B, D31, Assistencies!I:I)</f>
        <v>0</v>
      </c>
      <c r="K31">
        <f>SUMIF(Assistencies!B:B, D31, Assistencies!J:J)</f>
        <v>0</v>
      </c>
    </row>
    <row r="32" spans="1:11">
      <c r="A32" t="s">
        <v>120</v>
      </c>
      <c r="B32" t="s">
        <v>119</v>
      </c>
      <c r="C32" t="s">
        <v>276</v>
      </c>
      <c r="D32" s="47" t="s">
        <v>1146</v>
      </c>
      <c r="E32" t="s">
        <v>336</v>
      </c>
      <c r="F32" t="s">
        <v>334</v>
      </c>
      <c r="G32" t="s">
        <v>337</v>
      </c>
      <c r="H32" s="62">
        <f>SUMIF(Assistencies!B:B, D32, Assistencies!F:F)</f>
        <v>0</v>
      </c>
      <c r="I32" s="62">
        <f>SUMIF(Assistencies!B:B, D32, Assistencies!H:H)</f>
        <v>0</v>
      </c>
      <c r="J32">
        <f>SUMIF(Assistencies!B:B, D32, Assistencies!I:I)</f>
        <v>0</v>
      </c>
      <c r="K32">
        <f>SUMIF(Assistencies!B:B, D32, Assistencies!J:J)</f>
        <v>0</v>
      </c>
    </row>
    <row r="33" spans="1:11">
      <c r="A33" t="s">
        <v>120</v>
      </c>
      <c r="B33" t="s">
        <v>123</v>
      </c>
      <c r="C33" t="s">
        <v>107</v>
      </c>
      <c r="D33" s="47" t="s">
        <v>1147</v>
      </c>
      <c r="E33" t="s">
        <v>122</v>
      </c>
      <c r="F33" t="s">
        <v>121</v>
      </c>
      <c r="G33" t="s">
        <v>365</v>
      </c>
      <c r="H33" s="62">
        <f>SUMIF(Assistencies!B:B, D33, Assistencies!F:F)</f>
        <v>0</v>
      </c>
      <c r="I33" s="62">
        <f>SUMIF(Assistencies!B:B, D33, Assistencies!H:H)</f>
        <v>0</v>
      </c>
      <c r="J33">
        <f>SUMIF(Assistencies!B:B, D33, Assistencies!I:I)</f>
        <v>0</v>
      </c>
      <c r="K33">
        <f>SUMIF(Assistencies!B:B, D33, Assistencies!J:J)</f>
        <v>0</v>
      </c>
    </row>
    <row r="34" spans="1:11">
      <c r="A34" t="s">
        <v>120</v>
      </c>
      <c r="B34" t="s">
        <v>123</v>
      </c>
      <c r="C34" t="s">
        <v>276</v>
      </c>
      <c r="D34" s="47" t="s">
        <v>1148</v>
      </c>
      <c r="E34" t="s">
        <v>339</v>
      </c>
      <c r="F34" t="s">
        <v>338</v>
      </c>
      <c r="G34" t="s">
        <v>340</v>
      </c>
      <c r="H34" s="62">
        <f>SUMIF(Assistencies!B:B, D34, Assistencies!F:F)</f>
        <v>0</v>
      </c>
      <c r="I34" s="62">
        <f>SUMIF(Assistencies!B:B, D34, Assistencies!H:H)</f>
        <v>0</v>
      </c>
      <c r="J34">
        <f>SUMIF(Assistencies!B:B, D34, Assistencies!I:I)</f>
        <v>0</v>
      </c>
      <c r="K34">
        <f>SUMIF(Assistencies!B:B, D34, Assistencies!J:J)</f>
        <v>0</v>
      </c>
    </row>
    <row r="35" spans="1:11">
      <c r="A35" t="s">
        <v>120</v>
      </c>
      <c r="B35" t="s">
        <v>123</v>
      </c>
      <c r="C35" t="s">
        <v>276</v>
      </c>
      <c r="D35" s="47" t="s">
        <v>1149</v>
      </c>
      <c r="E35" t="s">
        <v>343</v>
      </c>
      <c r="F35" t="s">
        <v>341</v>
      </c>
      <c r="G35" t="s">
        <v>344</v>
      </c>
      <c r="H35" s="62">
        <f>SUMIF(Assistencies!B:B, D35, Assistencies!F:F)</f>
        <v>0</v>
      </c>
      <c r="I35" s="62">
        <f>SUMIF(Assistencies!B:B, D35, Assistencies!H:H)</f>
        <v>0</v>
      </c>
      <c r="J35">
        <f>SUMIF(Assistencies!B:B, D35, Assistencies!I:I)</f>
        <v>0</v>
      </c>
      <c r="K35">
        <f>SUMIF(Assistencies!B:B, D35, Assistencies!J:J)</f>
        <v>0</v>
      </c>
    </row>
    <row r="36" spans="1:11">
      <c r="A36" t="s">
        <v>120</v>
      </c>
      <c r="B36" t="s">
        <v>123</v>
      </c>
      <c r="C36" t="s">
        <v>276</v>
      </c>
      <c r="D36" s="47" t="s">
        <v>1150</v>
      </c>
      <c r="E36" t="s">
        <v>360</v>
      </c>
      <c r="F36" t="s">
        <v>358</v>
      </c>
      <c r="G36" t="s">
        <v>358</v>
      </c>
      <c r="H36" s="62">
        <f>SUMIF(Assistencies!B:B, D36, Assistencies!F:F)</f>
        <v>0</v>
      </c>
      <c r="I36" s="62">
        <f>SUMIF(Assistencies!B:B, D36, Assistencies!H:H)</f>
        <v>0</v>
      </c>
      <c r="J36">
        <f>SUMIF(Assistencies!B:B, D36, Assistencies!I:I)</f>
        <v>0</v>
      </c>
      <c r="K36">
        <f>SUMIF(Assistencies!B:B, D36, Assistencies!J:J)</f>
        <v>0</v>
      </c>
    </row>
    <row r="37" spans="1:11">
      <c r="A37" t="s">
        <v>120</v>
      </c>
      <c r="B37" t="s">
        <v>123</v>
      </c>
      <c r="C37" t="s">
        <v>276</v>
      </c>
      <c r="D37" s="47" t="s">
        <v>1151</v>
      </c>
      <c r="E37" t="s">
        <v>347</v>
      </c>
      <c r="F37" t="s">
        <v>345</v>
      </c>
      <c r="G37" t="s">
        <v>348</v>
      </c>
      <c r="H37" s="62">
        <f>SUMIF(Assistencies!B:B, D37, Assistencies!F:F)</f>
        <v>0</v>
      </c>
      <c r="I37" s="62">
        <f>SUMIF(Assistencies!B:B, D37, Assistencies!H:H)</f>
        <v>0</v>
      </c>
      <c r="J37">
        <f>SUMIF(Assistencies!B:B, D37, Assistencies!I:I)</f>
        <v>0</v>
      </c>
      <c r="K37">
        <f>SUMIF(Assistencies!B:B, D37, Assistencies!J:J)</f>
        <v>0</v>
      </c>
    </row>
    <row r="38" spans="1:11">
      <c r="A38" t="s">
        <v>120</v>
      </c>
      <c r="B38" t="s">
        <v>123</v>
      </c>
      <c r="C38" t="s">
        <v>276</v>
      </c>
      <c r="D38" s="47" t="s">
        <v>1152</v>
      </c>
      <c r="E38" t="s">
        <v>350</v>
      </c>
      <c r="F38" t="s">
        <v>349</v>
      </c>
      <c r="G38" t="s">
        <v>351</v>
      </c>
      <c r="H38" s="62">
        <f>SUMIF(Assistencies!B:B, D38, Assistencies!F:F)</f>
        <v>0</v>
      </c>
      <c r="I38" s="62">
        <f>SUMIF(Assistencies!B:B, D38, Assistencies!H:H)</f>
        <v>0</v>
      </c>
      <c r="J38">
        <f>SUMIF(Assistencies!B:B, D38, Assistencies!I:I)</f>
        <v>0</v>
      </c>
      <c r="K38">
        <f>SUMIF(Assistencies!B:B, D38, Assistencies!J:J)</f>
        <v>0</v>
      </c>
    </row>
    <row r="39" spans="1:11">
      <c r="A39" t="s">
        <v>120</v>
      </c>
      <c r="B39" t="s">
        <v>123</v>
      </c>
      <c r="C39" t="s">
        <v>276</v>
      </c>
      <c r="D39" s="47" t="s">
        <v>1153</v>
      </c>
      <c r="E39" t="s">
        <v>353</v>
      </c>
      <c r="F39" t="s">
        <v>352</v>
      </c>
      <c r="G39" t="s">
        <v>352</v>
      </c>
      <c r="H39" s="62">
        <f>SUMIF(Assistencies!B:B, D39, Assistencies!F:F)</f>
        <v>0</v>
      </c>
      <c r="I39" s="62">
        <f>SUMIF(Assistencies!B:B, D39, Assistencies!H:H)</f>
        <v>0</v>
      </c>
      <c r="J39">
        <f>SUMIF(Assistencies!B:B, D39, Assistencies!I:I)</f>
        <v>0</v>
      </c>
      <c r="K39">
        <f>SUMIF(Assistencies!B:B, D39, Assistencies!J:J)</f>
        <v>0</v>
      </c>
    </row>
    <row r="40" spans="1:11">
      <c r="A40" t="s">
        <v>120</v>
      </c>
      <c r="B40" t="s">
        <v>123</v>
      </c>
      <c r="C40" t="s">
        <v>276</v>
      </c>
      <c r="D40" s="47" t="s">
        <v>1154</v>
      </c>
      <c r="E40" t="s">
        <v>356</v>
      </c>
      <c r="F40" t="s">
        <v>354</v>
      </c>
      <c r="G40" t="s">
        <v>357</v>
      </c>
      <c r="H40" s="62">
        <f>SUMIF(Assistencies!B:B, D40, Assistencies!F:F)</f>
        <v>0</v>
      </c>
      <c r="I40" s="62">
        <f>SUMIF(Assistencies!B:B, D40, Assistencies!H:H)</f>
        <v>0</v>
      </c>
      <c r="J40">
        <f>SUMIF(Assistencies!B:B, D40, Assistencies!I:I)</f>
        <v>0</v>
      </c>
      <c r="K40">
        <f>SUMIF(Assistencies!B:B, D40, Assistencies!J:J)</f>
        <v>0</v>
      </c>
    </row>
    <row r="41" spans="1:11">
      <c r="A41" t="s">
        <v>120</v>
      </c>
      <c r="B41" t="s">
        <v>123</v>
      </c>
      <c r="C41" t="s">
        <v>276</v>
      </c>
      <c r="D41" s="47" t="s">
        <v>1155</v>
      </c>
      <c r="E41" t="s">
        <v>363</v>
      </c>
      <c r="F41" t="s">
        <v>361</v>
      </c>
      <c r="G41" t="s">
        <v>364</v>
      </c>
      <c r="H41" s="62">
        <f>SUMIF(Assistencies!B:B, D41, Assistencies!F:F)</f>
        <v>0</v>
      </c>
      <c r="I41" s="62">
        <f>SUMIF(Assistencies!B:B, D41, Assistencies!H:H)</f>
        <v>0</v>
      </c>
      <c r="J41">
        <f>SUMIF(Assistencies!B:B, D41, Assistencies!I:I)</f>
        <v>0</v>
      </c>
      <c r="K41">
        <f>SUMIF(Assistencies!B:B, D41, Assistencies!J:J)</f>
        <v>0</v>
      </c>
    </row>
    <row r="42" spans="1:11">
      <c r="A42" t="s">
        <v>120</v>
      </c>
      <c r="B42" t="s">
        <v>123</v>
      </c>
      <c r="C42" t="s">
        <v>276</v>
      </c>
      <c r="D42" s="47" t="s">
        <v>1156</v>
      </c>
      <c r="E42" t="s">
        <v>368</v>
      </c>
      <c r="F42" t="s">
        <v>366</v>
      </c>
      <c r="G42" t="s">
        <v>366</v>
      </c>
      <c r="H42" s="62">
        <f>SUMIF(Assistencies!B:B, D42, Assistencies!F:F)</f>
        <v>0</v>
      </c>
      <c r="I42" s="62">
        <f>SUMIF(Assistencies!B:B, D42, Assistencies!H:H)</f>
        <v>0</v>
      </c>
      <c r="J42">
        <f>SUMIF(Assistencies!B:B, D42, Assistencies!I:I)</f>
        <v>0</v>
      </c>
      <c r="K42">
        <f>SUMIF(Assistencies!B:B, D42, Assistencies!J:J)</f>
        <v>0</v>
      </c>
    </row>
    <row r="43" spans="1:11">
      <c r="A43" t="s">
        <v>120</v>
      </c>
      <c r="B43" t="s">
        <v>123</v>
      </c>
      <c r="C43" t="s">
        <v>276</v>
      </c>
      <c r="D43" s="47" t="s">
        <v>1157</v>
      </c>
      <c r="E43" t="s">
        <v>370</v>
      </c>
      <c r="F43" t="s">
        <v>369</v>
      </c>
      <c r="G43" t="s">
        <v>371</v>
      </c>
      <c r="H43" s="62">
        <f>SUMIF(Assistencies!B:B, D43, Assistencies!F:F)</f>
        <v>0</v>
      </c>
      <c r="I43" s="62">
        <f>SUMIF(Assistencies!B:B, D43, Assistencies!H:H)</f>
        <v>0</v>
      </c>
      <c r="J43">
        <f>SUMIF(Assistencies!B:B, D43, Assistencies!I:I)</f>
        <v>0</v>
      </c>
      <c r="K43">
        <f>SUMIF(Assistencies!B:B, D43, Assistencies!J:J)</f>
        <v>0</v>
      </c>
    </row>
    <row r="44" spans="1:11">
      <c r="A44" t="s">
        <v>120</v>
      </c>
      <c r="B44" t="s">
        <v>123</v>
      </c>
      <c r="C44" t="s">
        <v>276</v>
      </c>
      <c r="D44" s="47" t="s">
        <v>1158</v>
      </c>
      <c r="E44" t="s">
        <v>373</v>
      </c>
      <c r="F44" t="s">
        <v>372</v>
      </c>
      <c r="G44" t="s">
        <v>372</v>
      </c>
      <c r="H44" s="62">
        <f>SUMIF(Assistencies!B:B, D44, Assistencies!F:F)</f>
        <v>0</v>
      </c>
      <c r="I44" s="62">
        <f>SUMIF(Assistencies!B:B, D44, Assistencies!H:H)</f>
        <v>0</v>
      </c>
      <c r="J44">
        <f>SUMIF(Assistencies!B:B, D44, Assistencies!I:I)</f>
        <v>0</v>
      </c>
      <c r="K44">
        <f>SUMIF(Assistencies!B:B, D44, Assistencies!J:J)</f>
        <v>0</v>
      </c>
    </row>
    <row r="45" spans="1:11">
      <c r="A45" t="s">
        <v>120</v>
      </c>
      <c r="B45" t="s">
        <v>126</v>
      </c>
      <c r="C45" t="s">
        <v>107</v>
      </c>
      <c r="D45" s="47" t="s">
        <v>1159</v>
      </c>
      <c r="E45" t="s">
        <v>125</v>
      </c>
      <c r="F45" t="s">
        <v>124</v>
      </c>
      <c r="G45" t="s">
        <v>124</v>
      </c>
      <c r="H45" s="62">
        <f>SUMIF(Assistencies!B:B, D45, Assistencies!F:F)</f>
        <v>0</v>
      </c>
      <c r="I45" s="62">
        <f>SUMIF(Assistencies!B:B, D45, Assistencies!H:H)</f>
        <v>0</v>
      </c>
      <c r="J45">
        <f>SUMIF(Assistencies!B:B, D45, Assistencies!I:I)</f>
        <v>0</v>
      </c>
      <c r="K45">
        <f>SUMIF(Assistencies!B:B, D45, Assistencies!J:J)</f>
        <v>0</v>
      </c>
    </row>
    <row r="46" spans="1:11">
      <c r="A46" t="s">
        <v>120</v>
      </c>
      <c r="B46" t="s">
        <v>126</v>
      </c>
      <c r="C46" t="s">
        <v>276</v>
      </c>
      <c r="D46" s="47" t="s">
        <v>1160</v>
      </c>
      <c r="E46" t="s">
        <v>375</v>
      </c>
      <c r="F46" t="s">
        <v>374</v>
      </c>
      <c r="G46" t="s">
        <v>376</v>
      </c>
      <c r="H46" s="62">
        <f>SUMIF(Assistencies!B:B, D46, Assistencies!F:F)</f>
        <v>0</v>
      </c>
      <c r="I46" s="62">
        <f>SUMIF(Assistencies!B:B, D46, Assistencies!H:H)</f>
        <v>0</v>
      </c>
      <c r="J46">
        <f>SUMIF(Assistencies!B:B, D46, Assistencies!I:I)</f>
        <v>0</v>
      </c>
      <c r="K46">
        <f>SUMIF(Assistencies!B:B, D46, Assistencies!J:J)</f>
        <v>0</v>
      </c>
    </row>
    <row r="47" spans="1:11">
      <c r="A47" t="s">
        <v>120</v>
      </c>
      <c r="B47" t="s">
        <v>126</v>
      </c>
      <c r="C47" t="s">
        <v>276</v>
      </c>
      <c r="D47" s="47" t="s">
        <v>1161</v>
      </c>
      <c r="E47" t="s">
        <v>378</v>
      </c>
      <c r="F47" t="s">
        <v>377</v>
      </c>
      <c r="G47" t="s">
        <v>379</v>
      </c>
      <c r="H47" s="62">
        <f>SUMIF(Assistencies!B:B, D47, Assistencies!F:F)</f>
        <v>0</v>
      </c>
      <c r="I47" s="62">
        <f>SUMIF(Assistencies!B:B, D47, Assistencies!H:H)</f>
        <v>0</v>
      </c>
      <c r="J47">
        <f>SUMIF(Assistencies!B:B, D47, Assistencies!I:I)</f>
        <v>0</v>
      </c>
      <c r="K47">
        <f>SUMIF(Assistencies!B:B, D47, Assistencies!J:J)</f>
        <v>0</v>
      </c>
    </row>
    <row r="48" spans="1:11">
      <c r="A48" t="s">
        <v>120</v>
      </c>
      <c r="B48" t="s">
        <v>126</v>
      </c>
      <c r="C48" t="s">
        <v>276</v>
      </c>
      <c r="D48" s="47" t="s">
        <v>1162</v>
      </c>
      <c r="E48" t="s">
        <v>381</v>
      </c>
      <c r="F48" t="s">
        <v>380</v>
      </c>
      <c r="G48" t="s">
        <v>382</v>
      </c>
      <c r="H48" s="62">
        <f>SUMIF(Assistencies!B:B, D48, Assistencies!F:F)</f>
        <v>0</v>
      </c>
      <c r="I48" s="62">
        <f>SUMIF(Assistencies!B:B, D48, Assistencies!H:H)</f>
        <v>0</v>
      </c>
      <c r="J48">
        <f>SUMIF(Assistencies!B:B, D48, Assistencies!I:I)</f>
        <v>0</v>
      </c>
      <c r="K48">
        <f>SUMIF(Assistencies!B:B, D48, Assistencies!J:J)</f>
        <v>0</v>
      </c>
    </row>
    <row r="49" spans="1:11">
      <c r="A49" t="s">
        <v>120</v>
      </c>
      <c r="B49" t="s">
        <v>126</v>
      </c>
      <c r="C49" t="s">
        <v>276</v>
      </c>
      <c r="D49" s="47" t="s">
        <v>1163</v>
      </c>
      <c r="E49" t="s">
        <v>385</v>
      </c>
      <c r="F49" t="s">
        <v>383</v>
      </c>
      <c r="G49" t="s">
        <v>386</v>
      </c>
      <c r="H49" s="62">
        <f>SUMIF(Assistencies!B:B, D49, Assistencies!F:F)</f>
        <v>0</v>
      </c>
      <c r="I49" s="62">
        <f>SUMIF(Assistencies!B:B, D49, Assistencies!H:H)</f>
        <v>0</v>
      </c>
      <c r="J49">
        <f>SUMIF(Assistencies!B:B, D49, Assistencies!I:I)</f>
        <v>0</v>
      </c>
      <c r="K49">
        <f>SUMIF(Assistencies!B:B, D49, Assistencies!J:J)</f>
        <v>0</v>
      </c>
    </row>
    <row r="50" spans="1:11">
      <c r="A50" t="s">
        <v>120</v>
      </c>
      <c r="B50" t="s">
        <v>126</v>
      </c>
      <c r="C50" t="s">
        <v>276</v>
      </c>
      <c r="D50" s="47" t="s">
        <v>1164</v>
      </c>
      <c r="E50" t="s">
        <v>389</v>
      </c>
      <c r="F50" t="s">
        <v>387</v>
      </c>
      <c r="G50" t="s">
        <v>390</v>
      </c>
      <c r="H50" s="62">
        <f>SUMIF(Assistencies!B:B, D50, Assistencies!F:F)</f>
        <v>0</v>
      </c>
      <c r="I50" s="62">
        <f>SUMIF(Assistencies!B:B, D50, Assistencies!H:H)</f>
        <v>0</v>
      </c>
      <c r="J50">
        <f>SUMIF(Assistencies!B:B, D50, Assistencies!I:I)</f>
        <v>0</v>
      </c>
      <c r="K50">
        <f>SUMIF(Assistencies!B:B, D50, Assistencies!J:J)</f>
        <v>0</v>
      </c>
    </row>
    <row r="51" spans="1:11">
      <c r="A51" t="s">
        <v>120</v>
      </c>
      <c r="B51" t="s">
        <v>126</v>
      </c>
      <c r="C51" t="s">
        <v>276</v>
      </c>
      <c r="D51" s="47" t="s">
        <v>1165</v>
      </c>
      <c r="E51" t="s">
        <v>393</v>
      </c>
      <c r="F51" t="s">
        <v>391</v>
      </c>
      <c r="G51" t="s">
        <v>394</v>
      </c>
      <c r="H51" s="62">
        <f>SUMIF(Assistencies!B:B, D51, Assistencies!F:F)</f>
        <v>0</v>
      </c>
      <c r="I51" s="62">
        <f>SUMIF(Assistencies!B:B, D51, Assistencies!H:H)</f>
        <v>0</v>
      </c>
      <c r="J51">
        <f>SUMIF(Assistencies!B:B, D51, Assistencies!I:I)</f>
        <v>0</v>
      </c>
      <c r="K51">
        <f>SUMIF(Assistencies!B:B, D51, Assistencies!J:J)</f>
        <v>0</v>
      </c>
    </row>
    <row r="52" spans="1:11">
      <c r="A52" t="s">
        <v>120</v>
      </c>
      <c r="B52" t="s">
        <v>126</v>
      </c>
      <c r="C52" t="s">
        <v>276</v>
      </c>
      <c r="D52" s="47" t="s">
        <v>1166</v>
      </c>
      <c r="E52" t="s">
        <v>396</v>
      </c>
      <c r="F52" t="s">
        <v>395</v>
      </c>
      <c r="G52" t="s">
        <v>397</v>
      </c>
      <c r="H52" s="62">
        <f>SUMIF(Assistencies!B:B, D52, Assistencies!F:F)</f>
        <v>0</v>
      </c>
      <c r="I52" s="62">
        <f>SUMIF(Assistencies!B:B, D52, Assistencies!H:H)</f>
        <v>0</v>
      </c>
      <c r="J52">
        <f>SUMIF(Assistencies!B:B, D52, Assistencies!I:I)</f>
        <v>0</v>
      </c>
      <c r="K52">
        <f>SUMIF(Assistencies!B:B, D52, Assistencies!J:J)</f>
        <v>0</v>
      </c>
    </row>
    <row r="53" spans="1:11">
      <c r="A53" t="s">
        <v>120</v>
      </c>
      <c r="B53" t="s">
        <v>126</v>
      </c>
      <c r="C53" t="s">
        <v>276</v>
      </c>
      <c r="D53" s="47" t="s">
        <v>1167</v>
      </c>
      <c r="E53" t="s">
        <v>400</v>
      </c>
      <c r="F53" t="s">
        <v>398</v>
      </c>
      <c r="G53" t="s">
        <v>401</v>
      </c>
      <c r="H53" s="62">
        <f>SUMIF(Assistencies!B:B, D53, Assistencies!F:F)</f>
        <v>0</v>
      </c>
      <c r="I53" s="62">
        <f>SUMIF(Assistencies!B:B, D53, Assistencies!H:H)</f>
        <v>0</v>
      </c>
      <c r="J53">
        <f>SUMIF(Assistencies!B:B, D53, Assistencies!I:I)</f>
        <v>0</v>
      </c>
      <c r="K53">
        <f>SUMIF(Assistencies!B:B, D53, Assistencies!J:J)</f>
        <v>0</v>
      </c>
    </row>
    <row r="54" spans="1:11">
      <c r="A54" t="s">
        <v>120</v>
      </c>
      <c r="B54" t="s">
        <v>126</v>
      </c>
      <c r="C54" t="s">
        <v>276</v>
      </c>
      <c r="D54" s="47" t="s">
        <v>1168</v>
      </c>
      <c r="E54" t="s">
        <v>404</v>
      </c>
      <c r="F54" t="s">
        <v>402</v>
      </c>
      <c r="G54" t="s">
        <v>405</v>
      </c>
      <c r="H54" s="62">
        <f>SUMIF(Assistencies!B:B, D54, Assistencies!F:F)</f>
        <v>0</v>
      </c>
      <c r="I54" s="62">
        <f>SUMIF(Assistencies!B:B, D54, Assistencies!H:H)</f>
        <v>0</v>
      </c>
      <c r="J54">
        <f>SUMIF(Assistencies!B:B, D54, Assistencies!I:I)</f>
        <v>0</v>
      </c>
      <c r="K54">
        <f>SUMIF(Assistencies!B:B, D54, Assistencies!J:J)</f>
        <v>0</v>
      </c>
    </row>
    <row r="55" spans="1:11">
      <c r="A55" t="s">
        <v>120</v>
      </c>
      <c r="B55" t="s">
        <v>408</v>
      </c>
      <c r="C55" t="s">
        <v>107</v>
      </c>
      <c r="D55" s="47" t="s">
        <v>1169</v>
      </c>
      <c r="E55" t="s">
        <v>128</v>
      </c>
      <c r="F55" t="s">
        <v>127</v>
      </c>
      <c r="G55" t="s">
        <v>407</v>
      </c>
      <c r="H55" s="62">
        <f>SUMIF(Assistencies!B:B, D55, Assistencies!F:F)</f>
        <v>0</v>
      </c>
      <c r="I55" s="62">
        <f>SUMIF(Assistencies!B:B, D55, Assistencies!H:H)</f>
        <v>0</v>
      </c>
      <c r="J55">
        <f>SUMIF(Assistencies!B:B, D55, Assistencies!I:I)</f>
        <v>0</v>
      </c>
      <c r="K55">
        <f>SUMIF(Assistencies!B:B, D55, Assistencies!J:J)</f>
        <v>0</v>
      </c>
    </row>
    <row r="56" spans="1:11">
      <c r="A56" t="s">
        <v>120</v>
      </c>
      <c r="B56" t="s">
        <v>408</v>
      </c>
      <c r="C56" t="s">
        <v>276</v>
      </c>
      <c r="D56" s="47" t="s">
        <v>1170</v>
      </c>
      <c r="E56" t="s">
        <v>406</v>
      </c>
      <c r="F56" t="s">
        <v>127</v>
      </c>
      <c r="G56" t="s">
        <v>407</v>
      </c>
      <c r="H56" s="62">
        <f>SUMIF(Assistencies!B:B, D56, Assistencies!F:F)</f>
        <v>0</v>
      </c>
      <c r="I56" s="62">
        <f>SUMIF(Assistencies!B:B, D56, Assistencies!H:H)</f>
        <v>0</v>
      </c>
      <c r="J56">
        <f>SUMIF(Assistencies!B:B, D56, Assistencies!I:I)</f>
        <v>0</v>
      </c>
      <c r="K56">
        <f>SUMIF(Assistencies!B:B, D56, Assistencies!J:J)</f>
        <v>0</v>
      </c>
    </row>
    <row r="57" spans="1:11">
      <c r="A57" t="s">
        <v>120</v>
      </c>
      <c r="B57" t="s">
        <v>408</v>
      </c>
      <c r="C57" t="s">
        <v>276</v>
      </c>
      <c r="D57" s="47" t="s">
        <v>1171</v>
      </c>
      <c r="E57" t="s">
        <v>411</v>
      </c>
      <c r="F57" t="s">
        <v>409</v>
      </c>
      <c r="G57" t="s">
        <v>412</v>
      </c>
      <c r="H57" s="62">
        <f>SUMIF(Assistencies!B:B, D57, Assistencies!F:F)</f>
        <v>0</v>
      </c>
      <c r="I57" s="62">
        <f>SUMIF(Assistencies!B:B, D57, Assistencies!H:H)</f>
        <v>0</v>
      </c>
      <c r="J57">
        <f>SUMIF(Assistencies!B:B, D57, Assistencies!I:I)</f>
        <v>0</v>
      </c>
      <c r="K57">
        <f>SUMIF(Assistencies!B:B, D57, Assistencies!J:J)</f>
        <v>0</v>
      </c>
    </row>
    <row r="58" spans="1:11">
      <c r="A58" t="s">
        <v>120</v>
      </c>
      <c r="B58" t="s">
        <v>1172</v>
      </c>
      <c r="C58" t="s">
        <v>276</v>
      </c>
      <c r="D58" s="47" t="s">
        <v>1173</v>
      </c>
      <c r="E58" t="s">
        <v>414</v>
      </c>
      <c r="F58" t="s">
        <v>413</v>
      </c>
      <c r="G58" t="s">
        <v>415</v>
      </c>
      <c r="H58" s="62">
        <f>SUMIF(Assistencies!B:B, D58, Assistencies!F:F)</f>
        <v>0</v>
      </c>
      <c r="I58" s="62">
        <f>SUMIF(Assistencies!B:B, D58, Assistencies!H:H)</f>
        <v>0</v>
      </c>
      <c r="J58">
        <f>SUMIF(Assistencies!B:B, D58, Assistencies!I:I)</f>
        <v>0</v>
      </c>
      <c r="K58">
        <f>SUMIF(Assistencies!B:B, D58, Assistencies!J:J)</f>
        <v>0</v>
      </c>
    </row>
    <row r="59" spans="1:11">
      <c r="A59" t="s">
        <v>120</v>
      </c>
      <c r="B59" t="s">
        <v>408</v>
      </c>
      <c r="C59" t="s">
        <v>276</v>
      </c>
      <c r="D59" s="47" t="s">
        <v>1174</v>
      </c>
      <c r="E59" t="s">
        <v>418</v>
      </c>
      <c r="F59" t="s">
        <v>416</v>
      </c>
      <c r="G59" t="s">
        <v>416</v>
      </c>
      <c r="H59" s="62">
        <f>SUMIF(Assistencies!B:B, D59, Assistencies!F:F)</f>
        <v>0</v>
      </c>
      <c r="I59" s="62">
        <f>SUMIF(Assistencies!B:B, D59, Assistencies!H:H)</f>
        <v>0</v>
      </c>
      <c r="J59">
        <f>SUMIF(Assistencies!B:B, D59, Assistencies!I:I)</f>
        <v>0</v>
      </c>
      <c r="K59">
        <f>SUMIF(Assistencies!B:B, D59, Assistencies!J:J)</f>
        <v>0</v>
      </c>
    </row>
    <row r="60" spans="1:11">
      <c r="A60" t="s">
        <v>120</v>
      </c>
      <c r="B60" t="s">
        <v>408</v>
      </c>
      <c r="C60" t="s">
        <v>276</v>
      </c>
      <c r="D60" s="47" t="s">
        <v>1175</v>
      </c>
      <c r="E60" t="s">
        <v>420</v>
      </c>
      <c r="F60" t="s">
        <v>419</v>
      </c>
      <c r="G60" t="s">
        <v>421</v>
      </c>
      <c r="H60" s="62">
        <f>SUMIF(Assistencies!B:B, D60, Assistencies!F:F)</f>
        <v>0</v>
      </c>
      <c r="I60" s="62">
        <f>SUMIF(Assistencies!B:B, D60, Assistencies!H:H)</f>
        <v>0</v>
      </c>
      <c r="J60">
        <f>SUMIF(Assistencies!B:B, D60, Assistencies!I:I)</f>
        <v>0</v>
      </c>
      <c r="K60">
        <f>SUMIF(Assistencies!B:B, D60, Assistencies!J:J)</f>
        <v>0</v>
      </c>
    </row>
    <row r="61" spans="1:11">
      <c r="A61" t="s">
        <v>120</v>
      </c>
      <c r="B61" t="s">
        <v>408</v>
      </c>
      <c r="C61" t="s">
        <v>276</v>
      </c>
      <c r="D61" s="47" t="s">
        <v>1176</v>
      </c>
      <c r="E61" t="s">
        <v>424</v>
      </c>
      <c r="F61" t="s">
        <v>422</v>
      </c>
      <c r="G61" t="s">
        <v>422</v>
      </c>
      <c r="H61" s="62">
        <f>SUMIF(Assistencies!B:B, D61, Assistencies!F:F)</f>
        <v>0</v>
      </c>
      <c r="I61" s="62">
        <f>SUMIF(Assistencies!B:B, D61, Assistencies!H:H)</f>
        <v>0</v>
      </c>
      <c r="J61">
        <f>SUMIF(Assistencies!B:B, D61, Assistencies!I:I)</f>
        <v>0</v>
      </c>
      <c r="K61">
        <f>SUMIF(Assistencies!B:B, D61, Assistencies!J:J)</f>
        <v>0</v>
      </c>
    </row>
    <row r="62" spans="1:11">
      <c r="A62" t="s">
        <v>120</v>
      </c>
      <c r="B62" t="s">
        <v>408</v>
      </c>
      <c r="C62" t="s">
        <v>276</v>
      </c>
      <c r="D62" s="47" t="s">
        <v>1177</v>
      </c>
      <c r="E62" t="s">
        <v>426</v>
      </c>
      <c r="F62" t="s">
        <v>425</v>
      </c>
      <c r="G62" t="s">
        <v>427</v>
      </c>
      <c r="H62" s="62">
        <f>SUMIF(Assistencies!B:B, D62, Assistencies!F:F)</f>
        <v>0</v>
      </c>
      <c r="I62" s="62">
        <f>SUMIF(Assistencies!B:B, D62, Assistencies!H:H)</f>
        <v>0</v>
      </c>
      <c r="J62">
        <f>SUMIF(Assistencies!B:B, D62, Assistencies!I:I)</f>
        <v>0</v>
      </c>
      <c r="K62">
        <f>SUMIF(Assistencies!B:B, D62, Assistencies!J:J)</f>
        <v>0</v>
      </c>
    </row>
    <row r="63" spans="1:11">
      <c r="A63" t="s">
        <v>120</v>
      </c>
      <c r="B63" t="s">
        <v>408</v>
      </c>
      <c r="C63" t="s">
        <v>276</v>
      </c>
      <c r="D63" s="47" t="s">
        <v>1178</v>
      </c>
      <c r="E63" t="s">
        <v>429</v>
      </c>
      <c r="F63" t="s">
        <v>428</v>
      </c>
      <c r="G63" t="s">
        <v>430</v>
      </c>
      <c r="H63" s="62">
        <f>SUMIF(Assistencies!B:B, D63, Assistencies!F:F)</f>
        <v>0</v>
      </c>
      <c r="I63" s="62">
        <f>SUMIF(Assistencies!B:B, D63, Assistencies!H:H)</f>
        <v>0</v>
      </c>
      <c r="J63">
        <f>SUMIF(Assistencies!B:B, D63, Assistencies!I:I)</f>
        <v>0</v>
      </c>
      <c r="K63">
        <f>SUMIF(Assistencies!B:B, D63, Assistencies!J:J)</f>
        <v>0</v>
      </c>
    </row>
    <row r="64" spans="1:11">
      <c r="A64" t="s">
        <v>120</v>
      </c>
      <c r="B64" t="s">
        <v>408</v>
      </c>
      <c r="C64" t="s">
        <v>276</v>
      </c>
      <c r="D64" s="47" t="s">
        <v>1179</v>
      </c>
      <c r="E64" t="s">
        <v>433</v>
      </c>
      <c r="F64" t="s">
        <v>431</v>
      </c>
      <c r="G64" t="s">
        <v>434</v>
      </c>
      <c r="H64" s="62">
        <f>SUMIF(Assistencies!B:B, D64, Assistencies!F:F)</f>
        <v>0</v>
      </c>
      <c r="I64" s="62">
        <f>SUMIF(Assistencies!B:B, D64, Assistencies!H:H)</f>
        <v>0</v>
      </c>
      <c r="J64">
        <f>SUMIF(Assistencies!B:B, D64, Assistencies!I:I)</f>
        <v>0</v>
      </c>
      <c r="K64">
        <f>SUMIF(Assistencies!B:B, D64, Assistencies!J:J)</f>
        <v>0</v>
      </c>
    </row>
    <row r="65" spans="1:11">
      <c r="A65" t="s">
        <v>120</v>
      </c>
      <c r="B65" t="s">
        <v>132</v>
      </c>
      <c r="C65" t="s">
        <v>107</v>
      </c>
      <c r="D65" s="47" t="s">
        <v>1180</v>
      </c>
      <c r="E65" t="s">
        <v>131</v>
      </c>
      <c r="F65" t="s">
        <v>130</v>
      </c>
      <c r="G65" t="s">
        <v>445</v>
      </c>
      <c r="H65" s="62">
        <f>SUMIF(Assistencies!B:B, D65, Assistencies!F:F)</f>
        <v>0</v>
      </c>
      <c r="I65" s="62">
        <f>SUMIF(Assistencies!B:B, D65, Assistencies!H:H)</f>
        <v>0</v>
      </c>
      <c r="J65">
        <f>SUMIF(Assistencies!B:B, D65, Assistencies!I:I)</f>
        <v>0</v>
      </c>
      <c r="K65">
        <f>SUMIF(Assistencies!B:B, D65, Assistencies!J:J)</f>
        <v>0</v>
      </c>
    </row>
    <row r="66" spans="1:11">
      <c r="A66" t="s">
        <v>120</v>
      </c>
      <c r="B66" t="s">
        <v>132</v>
      </c>
      <c r="C66" t="s">
        <v>276</v>
      </c>
      <c r="D66" s="47" t="s">
        <v>1181</v>
      </c>
      <c r="E66" t="s">
        <v>436</v>
      </c>
      <c r="F66" t="s">
        <v>435</v>
      </c>
      <c r="G66" t="s">
        <v>435</v>
      </c>
      <c r="H66" s="62">
        <f>SUMIF(Assistencies!B:B, D66, Assistencies!F:F)</f>
        <v>0</v>
      </c>
      <c r="I66" s="62">
        <f>SUMIF(Assistencies!B:B, D66, Assistencies!H:H)</f>
        <v>0</v>
      </c>
      <c r="J66">
        <f>SUMIF(Assistencies!B:B, D66, Assistencies!I:I)</f>
        <v>0</v>
      </c>
      <c r="K66">
        <f>SUMIF(Assistencies!B:B, D66, Assistencies!J:J)</f>
        <v>0</v>
      </c>
    </row>
    <row r="67" spans="1:11">
      <c r="A67" t="s">
        <v>120</v>
      </c>
      <c r="B67" t="s">
        <v>132</v>
      </c>
      <c r="C67" t="s">
        <v>276</v>
      </c>
      <c r="D67" s="47" t="s">
        <v>1182</v>
      </c>
      <c r="E67" t="s">
        <v>438</v>
      </c>
      <c r="F67" t="s">
        <v>437</v>
      </c>
      <c r="G67" t="s">
        <v>439</v>
      </c>
      <c r="H67" s="62">
        <f>SUMIF(Assistencies!B:B, D67, Assistencies!F:F)</f>
        <v>0</v>
      </c>
      <c r="I67" s="62">
        <f>SUMIF(Assistencies!B:B, D67, Assistencies!H:H)</f>
        <v>0</v>
      </c>
      <c r="J67">
        <f>SUMIF(Assistencies!B:B, D67, Assistencies!I:I)</f>
        <v>0</v>
      </c>
      <c r="K67">
        <f>SUMIF(Assistencies!B:B, D67, Assistencies!J:J)</f>
        <v>0</v>
      </c>
    </row>
    <row r="68" spans="1:11">
      <c r="A68" t="s">
        <v>120</v>
      </c>
      <c r="B68" t="s">
        <v>132</v>
      </c>
      <c r="C68" t="s">
        <v>276</v>
      </c>
      <c r="D68" s="47" t="s">
        <v>1183</v>
      </c>
      <c r="E68" t="s">
        <v>440</v>
      </c>
      <c r="F68" t="s">
        <v>220</v>
      </c>
      <c r="G68" t="s">
        <v>441</v>
      </c>
      <c r="H68" s="62">
        <f>SUMIF(Assistencies!B:B, D68, Assistencies!F:F)</f>
        <v>0</v>
      </c>
      <c r="I68" s="62">
        <f>SUMIF(Assistencies!B:B, D68, Assistencies!H:H)</f>
        <v>0</v>
      </c>
      <c r="J68">
        <f>SUMIF(Assistencies!B:B, D68, Assistencies!I:I)</f>
        <v>0</v>
      </c>
      <c r="K68">
        <f>SUMIF(Assistencies!B:B, D68, Assistencies!J:J)</f>
        <v>0</v>
      </c>
    </row>
    <row r="69" spans="1:11">
      <c r="A69" t="s">
        <v>120</v>
      </c>
      <c r="B69" t="s">
        <v>132</v>
      </c>
      <c r="C69" t="s">
        <v>276</v>
      </c>
      <c r="D69" s="47" t="s">
        <v>1184</v>
      </c>
      <c r="E69" t="s">
        <v>443</v>
      </c>
      <c r="F69" t="s">
        <v>442</v>
      </c>
      <c r="G69" t="s">
        <v>442</v>
      </c>
      <c r="H69" s="62">
        <f>SUMIF(Assistencies!B:B, D69, Assistencies!F:F)</f>
        <v>0</v>
      </c>
      <c r="I69" s="62">
        <f>SUMIF(Assistencies!B:B, D69, Assistencies!H:H)</f>
        <v>0</v>
      </c>
      <c r="J69">
        <f>SUMIF(Assistencies!B:B, D69, Assistencies!I:I)</f>
        <v>0</v>
      </c>
      <c r="K69">
        <f>SUMIF(Assistencies!B:B, D69, Assistencies!J:J)</f>
        <v>0</v>
      </c>
    </row>
    <row r="70" spans="1:11">
      <c r="A70" t="s">
        <v>120</v>
      </c>
      <c r="B70" t="s">
        <v>132</v>
      </c>
      <c r="C70" t="s">
        <v>276</v>
      </c>
      <c r="D70" s="47" t="s">
        <v>1185</v>
      </c>
      <c r="E70" t="s">
        <v>444</v>
      </c>
      <c r="F70" t="s">
        <v>130</v>
      </c>
      <c r="G70" t="s">
        <v>445</v>
      </c>
      <c r="H70" s="62">
        <f>SUMIF(Assistencies!B:B, D70, Assistencies!F:F)</f>
        <v>0</v>
      </c>
      <c r="I70" s="62">
        <f>SUMIF(Assistencies!B:B, D70, Assistencies!H:H)</f>
        <v>0</v>
      </c>
      <c r="J70">
        <f>SUMIF(Assistencies!B:B, D70, Assistencies!I:I)</f>
        <v>0</v>
      </c>
      <c r="K70">
        <f>SUMIF(Assistencies!B:B, D70, Assistencies!J:J)</f>
        <v>0</v>
      </c>
    </row>
    <row r="71" spans="1:11">
      <c r="A71" t="s">
        <v>120</v>
      </c>
      <c r="B71" t="s">
        <v>132</v>
      </c>
      <c r="C71" t="s">
        <v>276</v>
      </c>
      <c r="D71" s="47" t="s">
        <v>1186</v>
      </c>
      <c r="E71" t="s">
        <v>448</v>
      </c>
      <c r="F71" t="s">
        <v>446</v>
      </c>
      <c r="G71" t="s">
        <v>449</v>
      </c>
      <c r="H71" s="62">
        <f>SUMIF(Assistencies!B:B, D71, Assistencies!F:F)</f>
        <v>0</v>
      </c>
      <c r="I71" s="62">
        <f>SUMIF(Assistencies!B:B, D71, Assistencies!H:H)</f>
        <v>0</v>
      </c>
      <c r="J71">
        <f>SUMIF(Assistencies!B:B, D71, Assistencies!I:I)</f>
        <v>0</v>
      </c>
      <c r="K71">
        <f>SUMIF(Assistencies!B:B, D71, Assistencies!J:J)</f>
        <v>0</v>
      </c>
    </row>
    <row r="72" spans="1:11">
      <c r="A72" t="s">
        <v>120</v>
      </c>
      <c r="B72" t="s">
        <v>132</v>
      </c>
      <c r="C72" t="s">
        <v>276</v>
      </c>
      <c r="D72" s="47" t="s">
        <v>1187</v>
      </c>
      <c r="E72" t="s">
        <v>451</v>
      </c>
      <c r="F72" t="s">
        <v>450</v>
      </c>
      <c r="G72" t="s">
        <v>452</v>
      </c>
      <c r="H72" s="62">
        <f>SUMIF(Assistencies!B:B, D72, Assistencies!F:F)</f>
        <v>0</v>
      </c>
      <c r="I72" s="62">
        <f>SUMIF(Assistencies!B:B, D72, Assistencies!H:H)</f>
        <v>0</v>
      </c>
      <c r="J72">
        <f>SUMIF(Assistencies!B:B, D72, Assistencies!I:I)</f>
        <v>0</v>
      </c>
      <c r="K72">
        <f>SUMIF(Assistencies!B:B, D72, Assistencies!J:J)</f>
        <v>0</v>
      </c>
    </row>
    <row r="73" spans="1:11">
      <c r="A73" t="s">
        <v>120</v>
      </c>
      <c r="B73" t="s">
        <v>132</v>
      </c>
      <c r="C73" t="s">
        <v>276</v>
      </c>
      <c r="D73" s="47" t="s">
        <v>1188</v>
      </c>
      <c r="E73" t="s">
        <v>455</v>
      </c>
      <c r="F73" t="s">
        <v>453</v>
      </c>
      <c r="G73" t="s">
        <v>456</v>
      </c>
      <c r="H73" s="62">
        <f>SUMIF(Assistencies!B:B, D73, Assistencies!F:F)</f>
        <v>0</v>
      </c>
      <c r="I73" s="62">
        <f>SUMIF(Assistencies!B:B, D73, Assistencies!H:H)</f>
        <v>0</v>
      </c>
      <c r="J73">
        <f>SUMIF(Assistencies!B:B, D73, Assistencies!I:I)</f>
        <v>0</v>
      </c>
      <c r="K73">
        <f>SUMIF(Assistencies!B:B, D73, Assistencies!J:J)</f>
        <v>0</v>
      </c>
    </row>
    <row r="74" spans="1:11">
      <c r="A74" t="s">
        <v>120</v>
      </c>
      <c r="B74" t="s">
        <v>132</v>
      </c>
      <c r="C74" t="s">
        <v>276</v>
      </c>
      <c r="D74" s="47" t="s">
        <v>1189</v>
      </c>
      <c r="E74" t="s">
        <v>458</v>
      </c>
      <c r="F74" t="s">
        <v>457</v>
      </c>
      <c r="G74" t="s">
        <v>459</v>
      </c>
      <c r="H74" s="62">
        <f>SUMIF(Assistencies!B:B, D74, Assistencies!F:F)</f>
        <v>0</v>
      </c>
      <c r="I74" s="62">
        <f>SUMIF(Assistencies!B:B, D74, Assistencies!H:H)</f>
        <v>0</v>
      </c>
      <c r="J74">
        <f>SUMIF(Assistencies!B:B, D74, Assistencies!I:I)</f>
        <v>0</v>
      </c>
      <c r="K74">
        <f>SUMIF(Assistencies!B:B, D74, Assistencies!J:J)</f>
        <v>0</v>
      </c>
    </row>
    <row r="75" spans="1:11">
      <c r="A75" t="s">
        <v>120</v>
      </c>
      <c r="B75" t="s">
        <v>132</v>
      </c>
      <c r="C75" t="s">
        <v>276</v>
      </c>
      <c r="D75" s="47" t="s">
        <v>1190</v>
      </c>
      <c r="E75" t="s">
        <v>462</v>
      </c>
      <c r="F75" t="s">
        <v>460</v>
      </c>
      <c r="G75" t="s">
        <v>463</v>
      </c>
      <c r="H75" s="62">
        <f>SUMIF(Assistencies!B:B, D75, Assistencies!F:F)</f>
        <v>0</v>
      </c>
      <c r="I75" s="62">
        <f>SUMIF(Assistencies!B:B, D75, Assistencies!H:H)</f>
        <v>0</v>
      </c>
      <c r="J75">
        <f>SUMIF(Assistencies!B:B, D75, Assistencies!I:I)</f>
        <v>0</v>
      </c>
      <c r="K75">
        <f>SUMIF(Assistencies!B:B, D75, Assistencies!J:J)</f>
        <v>0</v>
      </c>
    </row>
    <row r="76" spans="1:11">
      <c r="A76" t="s">
        <v>120</v>
      </c>
      <c r="B76" t="s">
        <v>132</v>
      </c>
      <c r="C76" t="s">
        <v>276</v>
      </c>
      <c r="D76" s="47" t="s">
        <v>1191</v>
      </c>
      <c r="E76" t="s">
        <v>465</v>
      </c>
      <c r="F76" t="s">
        <v>464</v>
      </c>
      <c r="G76" t="s">
        <v>464</v>
      </c>
      <c r="H76" s="62">
        <f>SUMIF(Assistencies!B:B, D76, Assistencies!F:F)</f>
        <v>0</v>
      </c>
      <c r="I76" s="62">
        <f>SUMIF(Assistencies!B:B, D76, Assistencies!H:H)</f>
        <v>0</v>
      </c>
      <c r="J76">
        <f>SUMIF(Assistencies!B:B, D76, Assistencies!I:I)</f>
        <v>0</v>
      </c>
      <c r="K76">
        <f>SUMIF(Assistencies!B:B, D76, Assistencies!J:J)</f>
        <v>0</v>
      </c>
    </row>
    <row r="77" spans="1:11">
      <c r="A77" t="s">
        <v>120</v>
      </c>
      <c r="B77" t="s">
        <v>132</v>
      </c>
      <c r="C77" t="s">
        <v>276</v>
      </c>
      <c r="D77" s="47" t="s">
        <v>1192</v>
      </c>
      <c r="E77" t="s">
        <v>466</v>
      </c>
      <c r="F77" t="s">
        <v>28</v>
      </c>
      <c r="G77" t="s">
        <v>28</v>
      </c>
      <c r="H77" s="62">
        <f>SUMIF(Assistencies!B:B, D77, Assistencies!F:F)</f>
        <v>0</v>
      </c>
      <c r="I77" s="62">
        <f>SUMIF(Assistencies!B:B, D77, Assistencies!H:H)</f>
        <v>0</v>
      </c>
      <c r="J77">
        <f>SUMIF(Assistencies!B:B, D77, Assistencies!I:I)</f>
        <v>0</v>
      </c>
      <c r="K77">
        <f>SUMIF(Assistencies!B:B, D77, Assistencies!J:J)</f>
        <v>0</v>
      </c>
    </row>
    <row r="78" spans="1:11">
      <c r="A78" t="s">
        <v>120</v>
      </c>
      <c r="B78" t="s">
        <v>132</v>
      </c>
      <c r="C78" t="s">
        <v>276</v>
      </c>
      <c r="D78" s="47" t="s">
        <v>1193</v>
      </c>
      <c r="E78" t="s">
        <v>468</v>
      </c>
      <c r="F78" t="s">
        <v>467</v>
      </c>
      <c r="G78" t="s">
        <v>467</v>
      </c>
      <c r="H78" s="62">
        <f>SUMIF(Assistencies!B:B, D78, Assistencies!F:F)</f>
        <v>0</v>
      </c>
      <c r="I78" s="62">
        <f>SUMIF(Assistencies!B:B, D78, Assistencies!H:H)</f>
        <v>0</v>
      </c>
      <c r="J78">
        <f>SUMIF(Assistencies!B:B, D78, Assistencies!I:I)</f>
        <v>0</v>
      </c>
      <c r="K78">
        <f>SUMIF(Assistencies!B:B, D78, Assistencies!J:J)</f>
        <v>0</v>
      </c>
    </row>
    <row r="79" spans="1:11">
      <c r="A79" t="s">
        <v>120</v>
      </c>
      <c r="B79" t="s">
        <v>132</v>
      </c>
      <c r="C79" t="s">
        <v>276</v>
      </c>
      <c r="D79" s="47" t="s">
        <v>1194</v>
      </c>
      <c r="E79" t="s">
        <v>470</v>
      </c>
      <c r="F79" t="s">
        <v>469</v>
      </c>
      <c r="G79" t="s">
        <v>471</v>
      </c>
      <c r="H79" s="62">
        <f>SUMIF(Assistencies!B:B, D79, Assistencies!F:F)</f>
        <v>0</v>
      </c>
      <c r="I79" s="62">
        <f>SUMIF(Assistencies!B:B, D79, Assistencies!H:H)</f>
        <v>0</v>
      </c>
      <c r="J79">
        <f>SUMIF(Assistencies!B:B, D79, Assistencies!I:I)</f>
        <v>0</v>
      </c>
      <c r="K79">
        <f>SUMIF(Assistencies!B:B, D79, Assistencies!J:J)</f>
        <v>0</v>
      </c>
    </row>
    <row r="80" spans="1:11">
      <c r="A80" t="s">
        <v>120</v>
      </c>
      <c r="B80" t="s">
        <v>132</v>
      </c>
      <c r="C80" t="s">
        <v>276</v>
      </c>
      <c r="D80" s="47" t="s">
        <v>1195</v>
      </c>
      <c r="E80" t="s">
        <v>473</v>
      </c>
      <c r="F80" t="s">
        <v>472</v>
      </c>
      <c r="G80" t="s">
        <v>474</v>
      </c>
      <c r="H80" s="62">
        <f>SUMIF(Assistencies!B:B, D80, Assistencies!F:F)</f>
        <v>0</v>
      </c>
      <c r="I80" s="62">
        <f>SUMIF(Assistencies!B:B, D80, Assistencies!H:H)</f>
        <v>0</v>
      </c>
      <c r="J80">
        <f>SUMIF(Assistencies!B:B, D80, Assistencies!I:I)</f>
        <v>0</v>
      </c>
      <c r="K80">
        <f>SUMIF(Assistencies!B:B, D80, Assistencies!J:J)</f>
        <v>0</v>
      </c>
    </row>
    <row r="81" spans="1:11" ht="15.75" customHeight="1">
      <c r="A81" t="s">
        <v>120</v>
      </c>
      <c r="B81" s="36" t="s">
        <v>1106</v>
      </c>
      <c r="C81" t="s">
        <v>276</v>
      </c>
      <c r="D81" s="47" t="s">
        <v>1196</v>
      </c>
      <c r="E81" t="s">
        <v>512</v>
      </c>
      <c r="F81" t="s">
        <v>136</v>
      </c>
      <c r="G81" t="s">
        <v>513</v>
      </c>
      <c r="H81" s="62">
        <f>SUMIF(Assistencies!B:B, D81, Assistencies!F:F)</f>
        <v>0</v>
      </c>
      <c r="I81" s="62">
        <f>SUMIF(Assistencies!B:B, D81, Assistencies!H:H)</f>
        <v>0</v>
      </c>
      <c r="J81">
        <f>SUMIF(Assistencies!B:B, D81, Assistencies!I:I)</f>
        <v>0</v>
      </c>
      <c r="K81">
        <f>SUMIF(Assistencies!B:B, D81, Assistencies!J:J)</f>
        <v>0</v>
      </c>
    </row>
    <row r="82" spans="1:11">
      <c r="A82" t="s">
        <v>120</v>
      </c>
      <c r="B82" t="s">
        <v>135</v>
      </c>
      <c r="C82" t="s">
        <v>107</v>
      </c>
      <c r="D82" s="47" t="s">
        <v>1197</v>
      </c>
      <c r="E82" t="s">
        <v>134</v>
      </c>
      <c r="F82" t="s">
        <v>133</v>
      </c>
      <c r="G82" t="s">
        <v>498</v>
      </c>
      <c r="H82" s="62">
        <f>SUMIF(Assistencies!B:B, D82, Assistencies!F:F)</f>
        <v>0</v>
      </c>
      <c r="I82" s="62">
        <f>SUMIF(Assistencies!B:B, D82, Assistencies!H:H)</f>
        <v>0</v>
      </c>
      <c r="J82">
        <f>SUMIF(Assistencies!B:B, D82, Assistencies!I:I)</f>
        <v>0</v>
      </c>
      <c r="K82">
        <f>SUMIF(Assistencies!B:B, D82, Assistencies!J:J)</f>
        <v>0</v>
      </c>
    </row>
    <row r="83" spans="1:11">
      <c r="A83" t="s">
        <v>120</v>
      </c>
      <c r="B83" t="s">
        <v>135</v>
      </c>
      <c r="C83" t="s">
        <v>276</v>
      </c>
      <c r="D83" s="47" t="s">
        <v>1198</v>
      </c>
      <c r="E83" t="s">
        <v>477</v>
      </c>
      <c r="F83" t="s">
        <v>475</v>
      </c>
      <c r="G83" t="s">
        <v>478</v>
      </c>
      <c r="H83" s="62">
        <f>SUMIF(Assistencies!B:B, D83, Assistencies!F:F)</f>
        <v>0</v>
      </c>
      <c r="I83" s="62">
        <f>SUMIF(Assistencies!B:B, D83, Assistencies!H:H)</f>
        <v>0</v>
      </c>
      <c r="J83">
        <f>SUMIF(Assistencies!B:B, D83, Assistencies!I:I)</f>
        <v>0</v>
      </c>
      <c r="K83">
        <f>SUMIF(Assistencies!B:B, D83, Assistencies!J:J)</f>
        <v>0</v>
      </c>
    </row>
    <row r="84" spans="1:11">
      <c r="A84" t="s">
        <v>120</v>
      </c>
      <c r="B84" t="s">
        <v>135</v>
      </c>
      <c r="C84" t="s">
        <v>276</v>
      </c>
      <c r="D84" s="47" t="s">
        <v>1199</v>
      </c>
      <c r="E84" t="s">
        <v>480</v>
      </c>
      <c r="F84" t="s">
        <v>479</v>
      </c>
      <c r="G84" t="s">
        <v>481</v>
      </c>
      <c r="H84" s="62">
        <f>SUMIF(Assistencies!B:B, D84, Assistencies!F:F)</f>
        <v>0</v>
      </c>
      <c r="I84" s="62">
        <f>SUMIF(Assistencies!B:B, D84, Assistencies!H:H)</f>
        <v>0</v>
      </c>
      <c r="J84">
        <f>SUMIF(Assistencies!B:B, D84, Assistencies!I:I)</f>
        <v>0</v>
      </c>
      <c r="K84">
        <f>SUMIF(Assistencies!B:B, D84, Assistencies!J:J)</f>
        <v>0</v>
      </c>
    </row>
    <row r="85" spans="1:11">
      <c r="A85" t="s">
        <v>120</v>
      </c>
      <c r="B85" t="s">
        <v>135</v>
      </c>
      <c r="C85" t="s">
        <v>276</v>
      </c>
      <c r="D85" s="47" t="s">
        <v>1200</v>
      </c>
      <c r="E85" t="s">
        <v>484</v>
      </c>
      <c r="F85" t="s">
        <v>482</v>
      </c>
      <c r="G85" t="s">
        <v>485</v>
      </c>
      <c r="H85" s="62">
        <f>SUMIF(Assistencies!B:B, D85, Assistencies!F:F)</f>
        <v>0</v>
      </c>
      <c r="I85" s="62">
        <f>SUMIF(Assistencies!B:B, D85, Assistencies!H:H)</f>
        <v>0</v>
      </c>
      <c r="J85">
        <f>SUMIF(Assistencies!B:B, D85, Assistencies!I:I)</f>
        <v>0</v>
      </c>
      <c r="K85">
        <f>SUMIF(Assistencies!B:B, D85, Assistencies!J:J)</f>
        <v>0</v>
      </c>
    </row>
    <row r="86" spans="1:11">
      <c r="A86" t="s">
        <v>120</v>
      </c>
      <c r="B86" t="s">
        <v>135</v>
      </c>
      <c r="C86" t="s">
        <v>276</v>
      </c>
      <c r="D86" s="47" t="s">
        <v>1201</v>
      </c>
      <c r="E86" t="s">
        <v>487</v>
      </c>
      <c r="F86" t="s">
        <v>486</v>
      </c>
      <c r="G86" t="s">
        <v>488</v>
      </c>
      <c r="H86" s="62">
        <f>SUMIF(Assistencies!B:B, D86, Assistencies!F:F)</f>
        <v>0</v>
      </c>
      <c r="I86" s="62">
        <f>SUMIF(Assistencies!B:B, D86, Assistencies!H:H)</f>
        <v>0</v>
      </c>
      <c r="J86">
        <f>SUMIF(Assistencies!B:B, D86, Assistencies!I:I)</f>
        <v>0</v>
      </c>
      <c r="K86">
        <f>SUMIF(Assistencies!B:B, D86, Assistencies!J:J)</f>
        <v>0</v>
      </c>
    </row>
    <row r="87" spans="1:11" ht="15.75" customHeight="1">
      <c r="A87" t="s">
        <v>120</v>
      </c>
      <c r="B87" t="s">
        <v>135</v>
      </c>
      <c r="C87" t="s">
        <v>276</v>
      </c>
      <c r="D87" s="47" t="s">
        <v>1202</v>
      </c>
      <c r="E87" t="s">
        <v>491</v>
      </c>
      <c r="F87" t="s">
        <v>489</v>
      </c>
      <c r="G87" t="s">
        <v>492</v>
      </c>
      <c r="H87" s="62">
        <f>SUMIF(Assistencies!B:B, D87, Assistencies!F:F)</f>
        <v>0</v>
      </c>
      <c r="I87" s="62">
        <f>SUMIF(Assistencies!B:B, D87, Assistencies!H:H)</f>
        <v>0</v>
      </c>
      <c r="J87">
        <f>SUMIF(Assistencies!B:B, D87, Assistencies!I:I)</f>
        <v>0</v>
      </c>
      <c r="K87">
        <f>SUMIF(Assistencies!B:B, D87, Assistencies!J:J)</f>
        <v>0</v>
      </c>
    </row>
    <row r="88" spans="1:11">
      <c r="A88" t="s">
        <v>120</v>
      </c>
      <c r="B88" t="s">
        <v>135</v>
      </c>
      <c r="C88" t="s">
        <v>276</v>
      </c>
      <c r="D88" s="47" t="s">
        <v>1203</v>
      </c>
      <c r="E88" t="s">
        <v>495</v>
      </c>
      <c r="F88" t="s">
        <v>493</v>
      </c>
      <c r="G88" t="s">
        <v>496</v>
      </c>
      <c r="H88" s="62">
        <f>SUMIF(Assistencies!B:B, D88, Assistencies!F:F)</f>
        <v>0</v>
      </c>
      <c r="I88" s="62">
        <f>SUMIF(Assistencies!B:B, D88, Assistencies!H:H)</f>
        <v>0</v>
      </c>
      <c r="J88">
        <f>SUMIF(Assistencies!B:B, D88, Assistencies!I:I)</f>
        <v>0</v>
      </c>
      <c r="K88">
        <f>SUMIF(Assistencies!B:B, D88, Assistencies!J:J)</f>
        <v>0</v>
      </c>
    </row>
    <row r="89" spans="1:11">
      <c r="A89" t="s">
        <v>120</v>
      </c>
      <c r="B89" t="s">
        <v>135</v>
      </c>
      <c r="C89" t="s">
        <v>276</v>
      </c>
      <c r="D89" s="47" t="s">
        <v>1204</v>
      </c>
      <c r="E89" t="s">
        <v>497</v>
      </c>
      <c r="F89" t="s">
        <v>133</v>
      </c>
      <c r="G89" t="s">
        <v>498</v>
      </c>
      <c r="H89" s="62">
        <f>SUMIF(Assistencies!B:B, D89, Assistencies!F:F)</f>
        <v>0</v>
      </c>
      <c r="I89" s="62">
        <f>SUMIF(Assistencies!B:B, D89, Assistencies!H:H)</f>
        <v>0</v>
      </c>
      <c r="J89">
        <f>SUMIF(Assistencies!B:B, D89, Assistencies!I:I)</f>
        <v>0</v>
      </c>
      <c r="K89">
        <f>SUMIF(Assistencies!B:B, D89, Assistencies!J:J)</f>
        <v>0</v>
      </c>
    </row>
    <row r="90" spans="1:11">
      <c r="A90" t="s">
        <v>120</v>
      </c>
      <c r="B90" t="s">
        <v>135</v>
      </c>
      <c r="C90" t="s">
        <v>276</v>
      </c>
      <c r="D90" s="47" t="s">
        <v>1205</v>
      </c>
      <c r="E90" t="s">
        <v>501</v>
      </c>
      <c r="F90" t="s">
        <v>499</v>
      </c>
      <c r="G90" t="s">
        <v>502</v>
      </c>
      <c r="H90" s="62">
        <f>SUMIF(Assistencies!B:B, D90, Assistencies!F:F)</f>
        <v>0</v>
      </c>
      <c r="I90" s="62">
        <f>SUMIF(Assistencies!B:B, D90, Assistencies!H:H)</f>
        <v>0</v>
      </c>
      <c r="J90">
        <f>SUMIF(Assistencies!B:B, D90, Assistencies!I:I)</f>
        <v>0</v>
      </c>
      <c r="K90">
        <f>SUMIF(Assistencies!B:B, D90, Assistencies!J:J)</f>
        <v>0</v>
      </c>
    </row>
    <row r="91" spans="1:11">
      <c r="A91" t="s">
        <v>120</v>
      </c>
      <c r="B91" t="s">
        <v>135</v>
      </c>
      <c r="C91" t="s">
        <v>276</v>
      </c>
      <c r="D91" s="47" t="s">
        <v>1206</v>
      </c>
      <c r="E91" t="s">
        <v>504</v>
      </c>
      <c r="F91" t="s">
        <v>503</v>
      </c>
      <c r="G91" t="s">
        <v>505</v>
      </c>
      <c r="H91" s="62">
        <f>SUMIF(Assistencies!B:B, D91, Assistencies!F:F)</f>
        <v>0</v>
      </c>
      <c r="I91" s="62">
        <f>SUMIF(Assistencies!B:B, D91, Assistencies!H:H)</f>
        <v>0</v>
      </c>
      <c r="J91">
        <f>SUMIF(Assistencies!B:B, D91, Assistencies!I:I)</f>
        <v>0</v>
      </c>
      <c r="K91">
        <f>SUMIF(Assistencies!B:B, D91, Assistencies!J:J)</f>
        <v>0</v>
      </c>
    </row>
    <row r="92" spans="1:11">
      <c r="A92" t="s">
        <v>120</v>
      </c>
      <c r="B92" t="s">
        <v>163</v>
      </c>
      <c r="C92" t="s">
        <v>107</v>
      </c>
      <c r="D92" s="47" t="s">
        <v>1207</v>
      </c>
      <c r="E92" t="s">
        <v>137</v>
      </c>
      <c r="F92" t="s">
        <v>136</v>
      </c>
      <c r="G92" t="s">
        <v>513</v>
      </c>
      <c r="H92" s="62">
        <f>SUMIF(Assistencies!B:B, D92, Assistencies!F:F)</f>
        <v>0</v>
      </c>
      <c r="I92" s="62">
        <f>SUMIF(Assistencies!B:B, D92, Assistencies!H:H)</f>
        <v>0</v>
      </c>
      <c r="J92">
        <f>SUMIF(Assistencies!B:B, D92, Assistencies!I:I)</f>
        <v>0</v>
      </c>
      <c r="K92">
        <f>SUMIF(Assistencies!B:B, D92, Assistencies!J:J)</f>
        <v>0</v>
      </c>
    </row>
    <row r="93" spans="1:11">
      <c r="A93" t="s">
        <v>120</v>
      </c>
      <c r="B93" t="s">
        <v>163</v>
      </c>
      <c r="C93" t="s">
        <v>276</v>
      </c>
      <c r="D93" s="47" t="s">
        <v>1208</v>
      </c>
      <c r="E93" t="s">
        <v>528</v>
      </c>
      <c r="F93" t="s">
        <v>527</v>
      </c>
      <c r="G93" t="s">
        <v>529</v>
      </c>
      <c r="H93" s="62">
        <f>SUMIF(Assistencies!B:B, D93, Assistencies!F:F)</f>
        <v>0</v>
      </c>
      <c r="I93" s="62">
        <f>SUMIF(Assistencies!B:B, D93, Assistencies!H:H)</f>
        <v>0</v>
      </c>
      <c r="J93">
        <f>SUMIF(Assistencies!B:B, D93, Assistencies!I:I)</f>
        <v>0</v>
      </c>
      <c r="K93">
        <f>SUMIF(Assistencies!B:B, D93, Assistencies!J:J)</f>
        <v>0</v>
      </c>
    </row>
    <row r="94" spans="1:11">
      <c r="A94" t="s">
        <v>120</v>
      </c>
      <c r="B94" t="s">
        <v>163</v>
      </c>
      <c r="C94" t="s">
        <v>276</v>
      </c>
      <c r="D94" s="47" t="s">
        <v>1209</v>
      </c>
      <c r="E94" t="s">
        <v>507</v>
      </c>
      <c r="F94" t="s">
        <v>506</v>
      </c>
      <c r="G94" t="s">
        <v>508</v>
      </c>
      <c r="H94" s="62">
        <f>SUMIF(Assistencies!B:B, D94, Assistencies!F:F)</f>
        <v>0</v>
      </c>
      <c r="I94" s="62">
        <f>SUMIF(Assistencies!B:B, D94, Assistencies!H:H)</f>
        <v>0</v>
      </c>
      <c r="J94">
        <f>SUMIF(Assistencies!B:B, D94, Assistencies!I:I)</f>
        <v>0</v>
      </c>
      <c r="K94">
        <f>SUMIF(Assistencies!B:B, D94, Assistencies!J:J)</f>
        <v>0</v>
      </c>
    </row>
    <row r="95" spans="1:11">
      <c r="A95" t="s">
        <v>120</v>
      </c>
      <c r="B95" t="s">
        <v>163</v>
      </c>
      <c r="C95" t="s">
        <v>276</v>
      </c>
      <c r="D95" s="47" t="s">
        <v>1210</v>
      </c>
      <c r="E95" t="s">
        <v>510</v>
      </c>
      <c r="F95" t="s">
        <v>509</v>
      </c>
      <c r="G95" t="s">
        <v>511</v>
      </c>
      <c r="H95" s="62">
        <f>SUMIF(Assistencies!B:B, D95, Assistencies!F:F)</f>
        <v>0</v>
      </c>
      <c r="I95" s="62">
        <f>SUMIF(Assistencies!B:B, D95, Assistencies!H:H)</f>
        <v>0</v>
      </c>
      <c r="J95">
        <f>SUMIF(Assistencies!B:B, D95, Assistencies!I:I)</f>
        <v>0</v>
      </c>
      <c r="K95">
        <f>SUMIF(Assistencies!B:B, D95, Assistencies!J:J)</f>
        <v>0</v>
      </c>
    </row>
    <row r="96" spans="1:11">
      <c r="A96" t="s">
        <v>120</v>
      </c>
      <c r="B96" t="s">
        <v>163</v>
      </c>
      <c r="C96" t="s">
        <v>276</v>
      </c>
      <c r="D96" s="47" t="s">
        <v>1211</v>
      </c>
      <c r="E96" t="s">
        <v>516</v>
      </c>
      <c r="F96" t="s">
        <v>514</v>
      </c>
      <c r="G96" t="s">
        <v>517</v>
      </c>
      <c r="H96" s="62">
        <f>SUMIF(Assistencies!B:B, D96, Assistencies!F:F)</f>
        <v>0</v>
      </c>
      <c r="I96" s="62">
        <f>SUMIF(Assistencies!B:B, D96, Assistencies!H:H)</f>
        <v>0</v>
      </c>
      <c r="J96">
        <f>SUMIF(Assistencies!B:B, D96, Assistencies!I:I)</f>
        <v>0</v>
      </c>
      <c r="K96">
        <f>SUMIF(Assistencies!B:B, D96, Assistencies!J:J)</f>
        <v>0</v>
      </c>
    </row>
    <row r="97" spans="1:11">
      <c r="A97" t="s">
        <v>120</v>
      </c>
      <c r="B97" t="s">
        <v>163</v>
      </c>
      <c r="C97" t="s">
        <v>276</v>
      </c>
      <c r="D97" s="47" t="s">
        <v>1212</v>
      </c>
      <c r="E97" t="s">
        <v>526</v>
      </c>
      <c r="F97" t="s">
        <v>524</v>
      </c>
      <c r="G97" t="s">
        <v>524</v>
      </c>
      <c r="H97" s="62">
        <f>SUMIF(Assistencies!B:B, D97, Assistencies!F:F)</f>
        <v>0</v>
      </c>
      <c r="I97" s="62">
        <f>SUMIF(Assistencies!B:B, D97, Assistencies!H:H)</f>
        <v>0</v>
      </c>
      <c r="J97">
        <f>SUMIF(Assistencies!B:B, D97, Assistencies!I:I)</f>
        <v>0</v>
      </c>
      <c r="K97">
        <f>SUMIF(Assistencies!B:B, D97, Assistencies!J:J)</f>
        <v>0</v>
      </c>
    </row>
    <row r="98" spans="1:11">
      <c r="A98" t="s">
        <v>120</v>
      </c>
      <c r="B98" t="s">
        <v>163</v>
      </c>
      <c r="C98" t="s">
        <v>276</v>
      </c>
      <c r="D98" s="47" t="s">
        <v>1213</v>
      </c>
      <c r="E98" t="s">
        <v>520</v>
      </c>
      <c r="F98" t="s">
        <v>518</v>
      </c>
      <c r="G98" t="s">
        <v>518</v>
      </c>
      <c r="H98" s="62">
        <f>SUMIF(Assistencies!B:B, D98, Assistencies!F:F)</f>
        <v>0</v>
      </c>
      <c r="I98" s="62">
        <f>SUMIF(Assistencies!B:B, D98, Assistencies!H:H)</f>
        <v>0</v>
      </c>
      <c r="J98">
        <f>SUMIF(Assistencies!B:B, D98, Assistencies!I:I)</f>
        <v>0</v>
      </c>
      <c r="K98">
        <f>SUMIF(Assistencies!B:B, D98, Assistencies!J:J)</f>
        <v>0</v>
      </c>
    </row>
    <row r="99" spans="1:11">
      <c r="A99" t="s">
        <v>120</v>
      </c>
      <c r="B99" t="s">
        <v>163</v>
      </c>
      <c r="C99" t="s">
        <v>276</v>
      </c>
      <c r="D99" s="47" t="s">
        <v>1214</v>
      </c>
      <c r="E99" t="s">
        <v>522</v>
      </c>
      <c r="F99" t="s">
        <v>521</v>
      </c>
      <c r="G99" t="s">
        <v>523</v>
      </c>
      <c r="H99" s="62">
        <f>SUMIF(Assistencies!B:B, D99, Assistencies!F:F)</f>
        <v>0</v>
      </c>
      <c r="I99" s="62">
        <f>SUMIF(Assistencies!B:B, D99, Assistencies!H:H)</f>
        <v>0</v>
      </c>
      <c r="J99">
        <f>SUMIF(Assistencies!B:B, D99, Assistencies!I:I)</f>
        <v>0</v>
      </c>
      <c r="K99">
        <f>SUMIF(Assistencies!B:B, D99, Assistencies!J:J)</f>
        <v>0</v>
      </c>
    </row>
    <row r="100" spans="1:11">
      <c r="A100" t="s">
        <v>120</v>
      </c>
      <c r="B100" t="s">
        <v>141</v>
      </c>
      <c r="C100" t="s">
        <v>107</v>
      </c>
      <c r="D100" s="47" t="s">
        <v>1215</v>
      </c>
      <c r="E100" t="s">
        <v>140</v>
      </c>
      <c r="F100" t="s">
        <v>139</v>
      </c>
      <c r="G100" t="s">
        <v>139</v>
      </c>
      <c r="H100" s="62">
        <f>SUMIF(Assistencies!B:B, D100, Assistencies!F:F)</f>
        <v>0</v>
      </c>
      <c r="I100" s="62">
        <f>SUMIF(Assistencies!B:B, D100, Assistencies!H:H)</f>
        <v>0</v>
      </c>
      <c r="J100">
        <f>SUMIF(Assistencies!B:B, D100, Assistencies!I:I)</f>
        <v>0</v>
      </c>
      <c r="K100">
        <f>SUMIF(Assistencies!B:B, D100, Assistencies!J:J)</f>
        <v>0</v>
      </c>
    </row>
    <row r="101" spans="1:11">
      <c r="A101" t="s">
        <v>120</v>
      </c>
      <c r="B101" t="s">
        <v>141</v>
      </c>
      <c r="C101" t="s">
        <v>276</v>
      </c>
      <c r="D101" s="47" t="s">
        <v>1216</v>
      </c>
      <c r="E101" t="s">
        <v>532</v>
      </c>
      <c r="F101" t="s">
        <v>531</v>
      </c>
      <c r="G101" t="s">
        <v>533</v>
      </c>
      <c r="H101" s="62">
        <f>SUMIF(Assistencies!B:B, D101, Assistencies!F:F)</f>
        <v>0</v>
      </c>
      <c r="I101" s="62">
        <f>SUMIF(Assistencies!B:B, D101, Assistencies!H:H)</f>
        <v>0</v>
      </c>
      <c r="J101">
        <f>SUMIF(Assistencies!B:B, D101, Assistencies!I:I)</f>
        <v>0</v>
      </c>
      <c r="K101">
        <f>SUMIF(Assistencies!B:B, D101, Assistencies!J:J)</f>
        <v>0</v>
      </c>
    </row>
    <row r="102" spans="1:11">
      <c r="A102" t="s">
        <v>120</v>
      </c>
      <c r="B102" t="s">
        <v>141</v>
      </c>
      <c r="C102" t="s">
        <v>276</v>
      </c>
      <c r="D102" s="47" t="s">
        <v>1217</v>
      </c>
      <c r="E102" t="s">
        <v>536</v>
      </c>
      <c r="F102" t="s">
        <v>534</v>
      </c>
      <c r="G102" t="s">
        <v>537</v>
      </c>
      <c r="H102" s="62">
        <f>SUMIF(Assistencies!B:B, D102, Assistencies!F:F)</f>
        <v>0</v>
      </c>
      <c r="I102" s="62">
        <f>SUMIF(Assistencies!B:B, D102, Assistencies!H:H)</f>
        <v>0</v>
      </c>
      <c r="J102">
        <f>SUMIF(Assistencies!B:B, D102, Assistencies!I:I)</f>
        <v>0</v>
      </c>
      <c r="K102">
        <f>SUMIF(Assistencies!B:B, D102, Assistencies!J:J)</f>
        <v>0</v>
      </c>
    </row>
    <row r="103" spans="1:11">
      <c r="A103" t="s">
        <v>120</v>
      </c>
      <c r="B103" t="s">
        <v>141</v>
      </c>
      <c r="C103" t="s">
        <v>276</v>
      </c>
      <c r="D103" s="47" t="s">
        <v>1218</v>
      </c>
      <c r="E103" t="s">
        <v>539</v>
      </c>
      <c r="F103" t="s">
        <v>538</v>
      </c>
      <c r="G103" t="s">
        <v>538</v>
      </c>
      <c r="H103" s="62">
        <f>SUMIF(Assistencies!B:B, D103, Assistencies!F:F)</f>
        <v>0</v>
      </c>
      <c r="I103" s="62">
        <f>SUMIF(Assistencies!B:B, D103, Assistencies!H:H)</f>
        <v>0</v>
      </c>
      <c r="J103">
        <f>SUMIF(Assistencies!B:B, D103, Assistencies!I:I)</f>
        <v>0</v>
      </c>
      <c r="K103">
        <f>SUMIF(Assistencies!B:B, D103, Assistencies!J:J)</f>
        <v>0</v>
      </c>
    </row>
    <row r="104" spans="1:11">
      <c r="A104" t="s">
        <v>120</v>
      </c>
      <c r="B104" t="s">
        <v>141</v>
      </c>
      <c r="C104" t="s">
        <v>276</v>
      </c>
      <c r="D104" s="47" t="s">
        <v>1219</v>
      </c>
      <c r="E104" t="s">
        <v>542</v>
      </c>
      <c r="F104" t="s">
        <v>540</v>
      </c>
      <c r="G104" t="s">
        <v>543</v>
      </c>
      <c r="H104" s="62">
        <f>SUMIF(Assistencies!B:B, D104, Assistencies!F:F)</f>
        <v>0</v>
      </c>
      <c r="I104" s="62">
        <f>SUMIF(Assistencies!B:B, D104, Assistencies!H:H)</f>
        <v>0</v>
      </c>
      <c r="J104">
        <f>SUMIF(Assistencies!B:B, D104, Assistencies!I:I)</f>
        <v>0</v>
      </c>
      <c r="K104">
        <f>SUMIF(Assistencies!B:B, D104, Assistencies!J:J)</f>
        <v>0</v>
      </c>
    </row>
    <row r="105" spans="1:11">
      <c r="A105" t="s">
        <v>120</v>
      </c>
      <c r="B105" t="s">
        <v>141</v>
      </c>
      <c r="C105" t="s">
        <v>276</v>
      </c>
      <c r="D105" s="47" t="s">
        <v>1220</v>
      </c>
      <c r="E105" t="s">
        <v>545</v>
      </c>
      <c r="F105" t="s">
        <v>544</v>
      </c>
      <c r="G105" t="s">
        <v>546</v>
      </c>
      <c r="H105" s="62">
        <f>SUMIF(Assistencies!B:B, D105, Assistencies!F:F)</f>
        <v>0</v>
      </c>
      <c r="I105" s="62">
        <f>SUMIF(Assistencies!B:B, D105, Assistencies!H:H)</f>
        <v>0</v>
      </c>
      <c r="J105">
        <f>SUMIF(Assistencies!B:B, D105, Assistencies!I:I)</f>
        <v>0</v>
      </c>
      <c r="K105">
        <f>SUMIF(Assistencies!B:B, D105, Assistencies!J:J)</f>
        <v>0</v>
      </c>
    </row>
    <row r="106" spans="1:11">
      <c r="A106" t="s">
        <v>120</v>
      </c>
      <c r="B106" t="s">
        <v>141</v>
      </c>
      <c r="C106" t="s">
        <v>276</v>
      </c>
      <c r="D106" s="47" t="s">
        <v>1221</v>
      </c>
      <c r="E106" t="s">
        <v>549</v>
      </c>
      <c r="F106" t="s">
        <v>547</v>
      </c>
      <c r="G106" t="s">
        <v>550</v>
      </c>
      <c r="H106" s="62">
        <f>SUMIF(Assistencies!B:B, D106, Assistencies!F:F)</f>
        <v>0</v>
      </c>
      <c r="I106" s="62">
        <f>SUMIF(Assistencies!B:B, D106, Assistencies!H:H)</f>
        <v>0</v>
      </c>
      <c r="J106">
        <f>SUMIF(Assistencies!B:B, D106, Assistencies!I:I)</f>
        <v>0</v>
      </c>
      <c r="K106">
        <f>SUMIF(Assistencies!B:B, D106, Assistencies!J:J)</f>
        <v>0</v>
      </c>
    </row>
    <row r="107" spans="1:11">
      <c r="A107" t="s">
        <v>120</v>
      </c>
      <c r="B107" t="s">
        <v>141</v>
      </c>
      <c r="C107" t="s">
        <v>276</v>
      </c>
      <c r="D107" s="47" t="s">
        <v>1222</v>
      </c>
      <c r="E107" t="s">
        <v>553</v>
      </c>
      <c r="F107" t="s">
        <v>551</v>
      </c>
      <c r="G107" t="s">
        <v>554</v>
      </c>
      <c r="H107" s="62">
        <f>SUMIF(Assistencies!B:B, D107, Assistencies!F:F)</f>
        <v>0</v>
      </c>
      <c r="I107" s="62">
        <f>SUMIF(Assistencies!B:B, D107, Assistencies!H:H)</f>
        <v>0</v>
      </c>
      <c r="J107">
        <f>SUMIF(Assistencies!B:B, D107, Assistencies!I:I)</f>
        <v>0</v>
      </c>
      <c r="K107">
        <f>SUMIF(Assistencies!B:B, D107, Assistencies!J:J)</f>
        <v>0</v>
      </c>
    </row>
    <row r="108" spans="1:11">
      <c r="A108" t="s">
        <v>120</v>
      </c>
      <c r="B108" t="s">
        <v>141</v>
      </c>
      <c r="C108" t="s">
        <v>276</v>
      </c>
      <c r="D108" s="47" t="s">
        <v>1223</v>
      </c>
      <c r="E108" t="s">
        <v>556</v>
      </c>
      <c r="F108" t="s">
        <v>555</v>
      </c>
      <c r="G108" t="s">
        <v>557</v>
      </c>
      <c r="H108" s="62">
        <f>SUMIF(Assistencies!B:B, D108, Assistencies!F:F)</f>
        <v>0</v>
      </c>
      <c r="I108" s="62">
        <f>SUMIF(Assistencies!B:B, D108, Assistencies!H:H)</f>
        <v>0</v>
      </c>
      <c r="J108">
        <f>SUMIF(Assistencies!B:B, D108, Assistencies!I:I)</f>
        <v>0</v>
      </c>
      <c r="K108">
        <f>SUMIF(Assistencies!B:B, D108, Assistencies!J:J)</f>
        <v>0</v>
      </c>
    </row>
    <row r="109" spans="1:11">
      <c r="A109" t="s">
        <v>120</v>
      </c>
      <c r="B109" t="s">
        <v>141</v>
      </c>
      <c r="C109" t="s">
        <v>276</v>
      </c>
      <c r="D109" s="47" t="s">
        <v>1224</v>
      </c>
      <c r="E109" t="s">
        <v>559</v>
      </c>
      <c r="F109" t="s">
        <v>558</v>
      </c>
      <c r="G109" t="s">
        <v>560</v>
      </c>
      <c r="H109" s="62">
        <f>SUMIF(Assistencies!B:B, D109, Assistencies!F:F)</f>
        <v>0</v>
      </c>
      <c r="I109" s="62">
        <f>SUMIF(Assistencies!B:B, D109, Assistencies!H:H)</f>
        <v>0</v>
      </c>
      <c r="J109">
        <f>SUMIF(Assistencies!B:B, D109, Assistencies!I:I)</f>
        <v>0</v>
      </c>
      <c r="K109">
        <f>SUMIF(Assistencies!B:B, D109, Assistencies!J:J)</f>
        <v>0</v>
      </c>
    </row>
    <row r="110" spans="1:11">
      <c r="A110" t="s">
        <v>120</v>
      </c>
      <c r="B110" t="s">
        <v>141</v>
      </c>
      <c r="C110" t="s">
        <v>276</v>
      </c>
      <c r="D110" s="47" t="s">
        <v>1225</v>
      </c>
      <c r="E110" t="s">
        <v>563</v>
      </c>
      <c r="F110" t="s">
        <v>561</v>
      </c>
      <c r="G110" t="s">
        <v>561</v>
      </c>
      <c r="H110" s="62">
        <f>SUMIF(Assistencies!B:B, D110, Assistencies!F:F)</f>
        <v>0</v>
      </c>
      <c r="I110" s="62">
        <f>SUMIF(Assistencies!B:B, D110, Assistencies!H:H)</f>
        <v>0</v>
      </c>
      <c r="J110">
        <f>SUMIF(Assistencies!B:B, D110, Assistencies!I:I)</f>
        <v>0</v>
      </c>
      <c r="K110">
        <f>SUMIF(Assistencies!B:B, D110, Assistencies!J:J)</f>
        <v>0</v>
      </c>
    </row>
    <row r="111" spans="1:11">
      <c r="A111" t="s">
        <v>120</v>
      </c>
      <c r="B111" t="s">
        <v>144</v>
      </c>
      <c r="C111" t="s">
        <v>107</v>
      </c>
      <c r="D111" s="47" t="s">
        <v>1226</v>
      </c>
      <c r="E111" t="s">
        <v>143</v>
      </c>
      <c r="F111" t="s">
        <v>142</v>
      </c>
      <c r="G111" t="s">
        <v>574</v>
      </c>
      <c r="H111" s="62">
        <f>SUMIF(Assistencies!B:B, D111, Assistencies!F:F)</f>
        <v>0</v>
      </c>
      <c r="I111" s="62">
        <f>SUMIF(Assistencies!B:B, D111, Assistencies!H:H)</f>
        <v>0</v>
      </c>
      <c r="J111">
        <f>SUMIF(Assistencies!B:B, D111, Assistencies!I:I)</f>
        <v>0</v>
      </c>
      <c r="K111">
        <f>SUMIF(Assistencies!B:B, D111, Assistencies!J:J)</f>
        <v>0</v>
      </c>
    </row>
    <row r="112" spans="1:11">
      <c r="A112" t="s">
        <v>120</v>
      </c>
      <c r="B112" t="s">
        <v>144</v>
      </c>
      <c r="C112" t="s">
        <v>276</v>
      </c>
      <c r="D112" s="47" t="s">
        <v>1227</v>
      </c>
      <c r="E112" t="s">
        <v>565</v>
      </c>
      <c r="F112" t="s">
        <v>564</v>
      </c>
      <c r="G112" t="s">
        <v>566</v>
      </c>
      <c r="H112" s="62">
        <f>SUMIF(Assistencies!B:B, D112, Assistencies!F:F)</f>
        <v>0</v>
      </c>
      <c r="I112" s="62">
        <f>SUMIF(Assistencies!B:B, D112, Assistencies!H:H)</f>
        <v>0</v>
      </c>
      <c r="J112">
        <f>SUMIF(Assistencies!B:B, D112, Assistencies!I:I)</f>
        <v>0</v>
      </c>
      <c r="K112">
        <f>SUMIF(Assistencies!B:B, D112, Assistencies!J:J)</f>
        <v>0</v>
      </c>
    </row>
    <row r="113" spans="1:11">
      <c r="A113" t="s">
        <v>120</v>
      </c>
      <c r="B113" t="s">
        <v>144</v>
      </c>
      <c r="C113" t="s">
        <v>276</v>
      </c>
      <c r="D113" s="47" t="s">
        <v>1228</v>
      </c>
      <c r="E113" t="s">
        <v>568</v>
      </c>
      <c r="F113" t="s">
        <v>567</v>
      </c>
      <c r="G113" t="s">
        <v>569</v>
      </c>
      <c r="H113" s="62">
        <f>SUMIF(Assistencies!B:B, D113, Assistencies!F:F)</f>
        <v>0</v>
      </c>
      <c r="I113" s="62">
        <f>SUMIF(Assistencies!B:B, D113, Assistencies!H:H)</f>
        <v>0</v>
      </c>
      <c r="J113">
        <f>SUMIF(Assistencies!B:B, D113, Assistencies!I:I)</f>
        <v>0</v>
      </c>
      <c r="K113">
        <f>SUMIF(Assistencies!B:B, D113, Assistencies!J:J)</f>
        <v>0</v>
      </c>
    </row>
    <row r="114" spans="1:11">
      <c r="A114" t="s">
        <v>120</v>
      </c>
      <c r="B114" t="s">
        <v>144</v>
      </c>
      <c r="C114" t="s">
        <v>276</v>
      </c>
      <c r="D114" s="47" t="s">
        <v>1229</v>
      </c>
      <c r="E114" t="s">
        <v>571</v>
      </c>
      <c r="F114" t="s">
        <v>570</v>
      </c>
      <c r="G114" t="s">
        <v>572</v>
      </c>
      <c r="H114" s="62">
        <f>SUMIF(Assistencies!B:B, D114, Assistencies!F:F)</f>
        <v>0</v>
      </c>
      <c r="I114" s="62">
        <f>SUMIF(Assistencies!B:B, D114, Assistencies!H:H)</f>
        <v>0</v>
      </c>
      <c r="J114">
        <f>SUMIF(Assistencies!B:B, D114, Assistencies!I:I)</f>
        <v>0</v>
      </c>
      <c r="K114">
        <f>SUMIF(Assistencies!B:B, D114, Assistencies!J:J)</f>
        <v>0</v>
      </c>
    </row>
    <row r="115" spans="1:11">
      <c r="A115" t="s">
        <v>120</v>
      </c>
      <c r="B115" t="s">
        <v>144</v>
      </c>
      <c r="C115" t="s">
        <v>276</v>
      </c>
      <c r="D115" s="47" t="s">
        <v>1230</v>
      </c>
      <c r="E115" t="s">
        <v>573</v>
      </c>
      <c r="F115" t="s">
        <v>142</v>
      </c>
      <c r="G115" t="s">
        <v>574</v>
      </c>
      <c r="H115" s="62">
        <f>SUMIF(Assistencies!B:B, D115, Assistencies!F:F)</f>
        <v>0</v>
      </c>
      <c r="I115" s="62">
        <f>SUMIF(Assistencies!B:B, D115, Assistencies!H:H)</f>
        <v>0</v>
      </c>
      <c r="J115">
        <f>SUMIF(Assistencies!B:B, D115, Assistencies!I:I)</f>
        <v>0</v>
      </c>
      <c r="K115">
        <f>SUMIF(Assistencies!B:B, D115, Assistencies!J:J)</f>
        <v>0</v>
      </c>
    </row>
    <row r="116" spans="1:11">
      <c r="A116" t="s">
        <v>120</v>
      </c>
      <c r="B116" t="s">
        <v>144</v>
      </c>
      <c r="C116" t="s">
        <v>276</v>
      </c>
      <c r="D116" s="47" t="s">
        <v>1231</v>
      </c>
      <c r="E116" t="s">
        <v>576</v>
      </c>
      <c r="F116" t="s">
        <v>575</v>
      </c>
      <c r="G116" t="s">
        <v>577</v>
      </c>
      <c r="H116" s="62">
        <f>SUMIF(Assistencies!B:B, D116, Assistencies!F:F)</f>
        <v>0</v>
      </c>
      <c r="I116" s="62">
        <f>SUMIF(Assistencies!B:B, D116, Assistencies!H:H)</f>
        <v>0</v>
      </c>
      <c r="J116">
        <f>SUMIF(Assistencies!B:B, D116, Assistencies!I:I)</f>
        <v>0</v>
      </c>
      <c r="K116">
        <f>SUMIF(Assistencies!B:B, D116, Assistencies!J:J)</f>
        <v>0</v>
      </c>
    </row>
    <row r="117" spans="1:11">
      <c r="A117" t="s">
        <v>120</v>
      </c>
      <c r="B117" t="s">
        <v>144</v>
      </c>
      <c r="C117" t="s">
        <v>276</v>
      </c>
      <c r="D117" s="47" t="s">
        <v>1232</v>
      </c>
      <c r="E117" t="s">
        <v>580</v>
      </c>
      <c r="F117" t="s">
        <v>578</v>
      </c>
      <c r="G117" t="s">
        <v>581</v>
      </c>
      <c r="H117" s="62">
        <f>SUMIF(Assistencies!B:B, D117, Assistencies!F:F)</f>
        <v>0</v>
      </c>
      <c r="I117" s="62">
        <f>SUMIF(Assistencies!B:B, D117, Assistencies!H:H)</f>
        <v>0</v>
      </c>
      <c r="J117">
        <f>SUMIF(Assistencies!B:B, D117, Assistencies!I:I)</f>
        <v>0</v>
      </c>
      <c r="K117">
        <f>SUMIF(Assistencies!B:B, D117, Assistencies!J:J)</f>
        <v>0</v>
      </c>
    </row>
    <row r="118" spans="1:11">
      <c r="A118" t="s">
        <v>120</v>
      </c>
      <c r="B118" t="s">
        <v>144</v>
      </c>
      <c r="C118" t="s">
        <v>276</v>
      </c>
      <c r="D118" s="47" t="s">
        <v>1233</v>
      </c>
      <c r="E118" t="s">
        <v>584</v>
      </c>
      <c r="F118" t="s">
        <v>582</v>
      </c>
      <c r="G118" t="s">
        <v>585</v>
      </c>
      <c r="H118" s="62">
        <f>SUMIF(Assistencies!B:B, D118, Assistencies!F:F)</f>
        <v>0</v>
      </c>
      <c r="I118" s="62">
        <f>SUMIF(Assistencies!B:B, D118, Assistencies!H:H)</f>
        <v>0</v>
      </c>
      <c r="J118">
        <f>SUMIF(Assistencies!B:B, D118, Assistencies!I:I)</f>
        <v>0</v>
      </c>
      <c r="K118">
        <f>SUMIF(Assistencies!B:B, D118, Assistencies!J:J)</f>
        <v>0</v>
      </c>
    </row>
    <row r="119" spans="1:11">
      <c r="A119" t="s">
        <v>120</v>
      </c>
      <c r="B119" t="s">
        <v>144</v>
      </c>
      <c r="C119" t="s">
        <v>276</v>
      </c>
      <c r="D119" s="47" t="s">
        <v>1234</v>
      </c>
      <c r="E119" t="s">
        <v>587</v>
      </c>
      <c r="F119" t="s">
        <v>586</v>
      </c>
      <c r="G119" t="s">
        <v>588</v>
      </c>
      <c r="H119" s="62">
        <f>SUMIF(Assistencies!B:B, D119, Assistencies!F:F)</f>
        <v>0</v>
      </c>
      <c r="I119" s="62">
        <f>SUMIF(Assistencies!B:B, D119, Assistencies!H:H)</f>
        <v>0</v>
      </c>
      <c r="J119">
        <f>SUMIF(Assistencies!B:B, D119, Assistencies!I:I)</f>
        <v>0</v>
      </c>
      <c r="K119">
        <f>SUMIF(Assistencies!B:B, D119, Assistencies!J:J)</f>
        <v>0</v>
      </c>
    </row>
    <row r="120" spans="1:11">
      <c r="A120" t="s">
        <v>148</v>
      </c>
      <c r="B120" t="s">
        <v>147</v>
      </c>
      <c r="C120" t="s">
        <v>107</v>
      </c>
      <c r="D120" s="47" t="s">
        <v>1235</v>
      </c>
      <c r="E120" t="s">
        <v>146</v>
      </c>
      <c r="F120" t="s">
        <v>145</v>
      </c>
      <c r="G120" t="s">
        <v>606</v>
      </c>
      <c r="H120" s="62">
        <f>SUMIF(Assistencies!B:B, D120, Assistencies!F:F)</f>
        <v>0</v>
      </c>
      <c r="I120" s="62">
        <f>SUMIF(Assistencies!B:B, D120, Assistencies!H:H)</f>
        <v>0</v>
      </c>
      <c r="J120">
        <f>SUMIF(Assistencies!B:B, D120, Assistencies!I:I)</f>
        <v>0</v>
      </c>
      <c r="K120">
        <f>SUMIF(Assistencies!B:B, D120, Assistencies!J:J)</f>
        <v>0</v>
      </c>
    </row>
    <row r="121" spans="1:11">
      <c r="A121" t="s">
        <v>148</v>
      </c>
      <c r="B121" t="s">
        <v>592</v>
      </c>
      <c r="C121" t="s">
        <v>276</v>
      </c>
      <c r="D121" s="47" t="s">
        <v>1236</v>
      </c>
      <c r="E121" t="s">
        <v>590</v>
      </c>
      <c r="F121" t="s">
        <v>589</v>
      </c>
      <c r="G121" t="s">
        <v>591</v>
      </c>
      <c r="H121" s="62">
        <f>SUMIF(Assistencies!B:B, D121, Assistencies!F:F)</f>
        <v>0</v>
      </c>
      <c r="I121" s="62">
        <f>SUMIF(Assistencies!B:B, D121, Assistencies!H:H)</f>
        <v>0</v>
      </c>
      <c r="J121">
        <f>SUMIF(Assistencies!B:B, D121, Assistencies!I:I)</f>
        <v>0</v>
      </c>
      <c r="K121">
        <f>SUMIF(Assistencies!B:B, D121, Assistencies!J:J)</f>
        <v>0</v>
      </c>
    </row>
    <row r="122" spans="1:11">
      <c r="A122" t="s">
        <v>148</v>
      </c>
      <c r="B122" t="s">
        <v>592</v>
      </c>
      <c r="C122" t="s">
        <v>276</v>
      </c>
      <c r="D122" s="47" t="s">
        <v>1237</v>
      </c>
      <c r="E122" t="s">
        <v>594</v>
      </c>
      <c r="F122" t="s">
        <v>593</v>
      </c>
      <c r="G122" t="s">
        <v>595</v>
      </c>
      <c r="H122" s="62">
        <f>SUMIF(Assistencies!B:B, D122, Assistencies!F:F)</f>
        <v>0</v>
      </c>
      <c r="I122" s="62">
        <f>SUMIF(Assistencies!B:B, D122, Assistencies!H:H)</f>
        <v>0</v>
      </c>
      <c r="J122">
        <f>SUMIF(Assistencies!B:B, D122, Assistencies!I:I)</f>
        <v>0</v>
      </c>
      <c r="K122">
        <f>SUMIF(Assistencies!B:B, D122, Assistencies!J:J)</f>
        <v>0</v>
      </c>
    </row>
    <row r="123" spans="1:11">
      <c r="A123" t="s">
        <v>148</v>
      </c>
      <c r="B123" t="s">
        <v>592</v>
      </c>
      <c r="C123" t="s">
        <v>276</v>
      </c>
      <c r="D123" s="47" t="s">
        <v>1238</v>
      </c>
      <c r="E123" t="s">
        <v>598</v>
      </c>
      <c r="F123" t="s">
        <v>596</v>
      </c>
      <c r="G123" t="s">
        <v>599</v>
      </c>
      <c r="H123" s="62">
        <f>SUMIF(Assistencies!B:B, D123, Assistencies!F:F)</f>
        <v>0</v>
      </c>
      <c r="I123" s="62">
        <f>SUMIF(Assistencies!B:B, D123, Assistencies!H:H)</f>
        <v>0</v>
      </c>
      <c r="J123">
        <f>SUMIF(Assistencies!B:B, D123, Assistencies!I:I)</f>
        <v>0</v>
      </c>
      <c r="K123">
        <f>SUMIF(Assistencies!B:B, D123, Assistencies!J:J)</f>
        <v>0</v>
      </c>
    </row>
    <row r="124" spans="1:11">
      <c r="A124" t="s">
        <v>148</v>
      </c>
      <c r="B124" t="s">
        <v>592</v>
      </c>
      <c r="C124" t="s">
        <v>276</v>
      </c>
      <c r="D124" s="47" t="s">
        <v>1239</v>
      </c>
      <c r="E124" t="s">
        <v>601</v>
      </c>
      <c r="F124" t="s">
        <v>600</v>
      </c>
      <c r="G124" t="s">
        <v>602</v>
      </c>
      <c r="H124" s="62">
        <f>SUMIF(Assistencies!B:B, D124, Assistencies!F:F)</f>
        <v>0</v>
      </c>
      <c r="I124" s="62">
        <f>SUMIF(Assistencies!B:B, D124, Assistencies!H:H)</f>
        <v>0</v>
      </c>
      <c r="J124">
        <f>SUMIF(Assistencies!B:B, D124, Assistencies!I:I)</f>
        <v>0</v>
      </c>
      <c r="K124">
        <f>SUMIF(Assistencies!B:B, D124, Assistencies!J:J)</f>
        <v>0</v>
      </c>
    </row>
    <row r="125" spans="1:11">
      <c r="A125" t="s">
        <v>148</v>
      </c>
      <c r="B125" t="s">
        <v>592</v>
      </c>
      <c r="C125" t="s">
        <v>276</v>
      </c>
      <c r="D125" s="47" t="s">
        <v>1240</v>
      </c>
      <c r="E125" t="s">
        <v>604</v>
      </c>
      <c r="F125" t="s">
        <v>603</v>
      </c>
      <c r="G125" t="s">
        <v>605</v>
      </c>
      <c r="H125" s="62">
        <f>SUMIF(Assistencies!B:B, D125, Assistencies!F:F)</f>
        <v>0</v>
      </c>
      <c r="I125" s="62">
        <f>SUMIF(Assistencies!B:B, D125, Assistencies!H:H)</f>
        <v>0</v>
      </c>
      <c r="J125">
        <f>SUMIF(Assistencies!B:B, D125, Assistencies!I:I)</f>
        <v>0</v>
      </c>
      <c r="K125">
        <f>SUMIF(Assistencies!B:B, D125, Assistencies!J:J)</f>
        <v>0</v>
      </c>
    </row>
    <row r="126" spans="1:11">
      <c r="A126" t="s">
        <v>148</v>
      </c>
      <c r="B126" t="s">
        <v>592</v>
      </c>
      <c r="C126" t="s">
        <v>276</v>
      </c>
      <c r="D126" s="47" t="s">
        <v>1241</v>
      </c>
      <c r="E126" t="s">
        <v>608</v>
      </c>
      <c r="F126" t="s">
        <v>607</v>
      </c>
      <c r="G126" t="s">
        <v>609</v>
      </c>
      <c r="H126" s="62">
        <f>SUMIF(Assistencies!B:B, D126, Assistencies!F:F)</f>
        <v>0</v>
      </c>
      <c r="I126" s="62">
        <f>SUMIF(Assistencies!B:B, D126, Assistencies!H:H)</f>
        <v>0</v>
      </c>
      <c r="J126">
        <f>SUMIF(Assistencies!B:B, D126, Assistencies!I:I)</f>
        <v>0</v>
      </c>
      <c r="K126">
        <f>SUMIF(Assistencies!B:B, D126, Assistencies!J:J)</f>
        <v>0</v>
      </c>
    </row>
    <row r="127" spans="1:11">
      <c r="A127" t="s">
        <v>148</v>
      </c>
      <c r="B127" t="s">
        <v>592</v>
      </c>
      <c r="C127" t="s">
        <v>276</v>
      </c>
      <c r="D127" s="47" t="s">
        <v>1242</v>
      </c>
      <c r="E127" t="s">
        <v>611</v>
      </c>
      <c r="F127" t="s">
        <v>610</v>
      </c>
      <c r="G127" t="s">
        <v>612</v>
      </c>
      <c r="H127" s="62">
        <f>SUMIF(Assistencies!B:B, D127, Assistencies!F:F)</f>
        <v>0</v>
      </c>
      <c r="I127" s="62">
        <f>SUMIF(Assistencies!B:B, D127, Assistencies!H:H)</f>
        <v>0</v>
      </c>
      <c r="J127">
        <f>SUMIF(Assistencies!B:B, D127, Assistencies!I:I)</f>
        <v>0</v>
      </c>
      <c r="K127">
        <f>SUMIF(Assistencies!B:B, D127, Assistencies!J:J)</f>
        <v>0</v>
      </c>
    </row>
    <row r="128" spans="1:11">
      <c r="A128" t="s">
        <v>148</v>
      </c>
      <c r="B128" t="s">
        <v>592</v>
      </c>
      <c r="C128" t="s">
        <v>276</v>
      </c>
      <c r="D128" s="47" t="s">
        <v>1243</v>
      </c>
      <c r="E128" t="s">
        <v>615</v>
      </c>
      <c r="F128" t="s">
        <v>613</v>
      </c>
      <c r="G128" t="s">
        <v>616</v>
      </c>
      <c r="H128" s="62">
        <f>SUMIF(Assistencies!B:B, D128, Assistencies!F:F)</f>
        <v>0</v>
      </c>
      <c r="I128" s="62">
        <f>SUMIF(Assistencies!B:B, D128, Assistencies!H:H)</f>
        <v>0</v>
      </c>
      <c r="J128">
        <f>SUMIF(Assistencies!B:B, D128, Assistencies!I:I)</f>
        <v>0</v>
      </c>
      <c r="K128">
        <f>SUMIF(Assistencies!B:B, D128, Assistencies!J:J)</f>
        <v>0</v>
      </c>
    </row>
    <row r="129" spans="1:11">
      <c r="A129" t="s">
        <v>148</v>
      </c>
      <c r="B129" t="s">
        <v>592</v>
      </c>
      <c r="C129" t="s">
        <v>276</v>
      </c>
      <c r="D129" s="47" t="s">
        <v>1244</v>
      </c>
      <c r="E129" t="s">
        <v>619</v>
      </c>
      <c r="F129" t="s">
        <v>617</v>
      </c>
      <c r="G129" t="s">
        <v>620</v>
      </c>
      <c r="H129" s="62">
        <f>SUMIF(Assistencies!B:B, D129, Assistencies!F:F)</f>
        <v>0</v>
      </c>
      <c r="I129" s="62">
        <f>SUMIF(Assistencies!B:B, D129, Assistencies!H:H)</f>
        <v>0</v>
      </c>
      <c r="J129">
        <f>SUMIF(Assistencies!B:B, D129, Assistencies!I:I)</f>
        <v>0</v>
      </c>
      <c r="K129">
        <f>SUMIF(Assistencies!B:B, D129, Assistencies!J:J)</f>
        <v>0</v>
      </c>
    </row>
    <row r="130" spans="1:11">
      <c r="A130" t="s">
        <v>148</v>
      </c>
      <c r="B130" t="s">
        <v>151</v>
      </c>
      <c r="C130" t="s">
        <v>107</v>
      </c>
      <c r="D130" s="47" t="s">
        <v>1245</v>
      </c>
      <c r="E130" t="s">
        <v>150</v>
      </c>
      <c r="F130" t="s">
        <v>149</v>
      </c>
      <c r="G130" t="s">
        <v>639</v>
      </c>
      <c r="H130" s="62">
        <f>SUMIF(Assistencies!B:B, D130, Assistencies!F:F)</f>
        <v>0</v>
      </c>
      <c r="I130" s="62">
        <f>SUMIF(Assistencies!B:B, D130, Assistencies!H:H)</f>
        <v>0</v>
      </c>
      <c r="J130">
        <f>SUMIF(Assistencies!B:B, D130, Assistencies!I:I)</f>
        <v>0</v>
      </c>
      <c r="K130">
        <f>SUMIF(Assistencies!B:B, D130, Assistencies!J:J)</f>
        <v>0</v>
      </c>
    </row>
    <row r="131" spans="1:11">
      <c r="A131" t="s">
        <v>148</v>
      </c>
      <c r="B131" t="s">
        <v>151</v>
      </c>
      <c r="C131" t="s">
        <v>276</v>
      </c>
      <c r="D131" s="47" t="s">
        <v>1246</v>
      </c>
      <c r="E131" t="s">
        <v>623</v>
      </c>
      <c r="F131" t="s">
        <v>621</v>
      </c>
      <c r="G131" t="s">
        <v>624</v>
      </c>
      <c r="H131" s="62">
        <f>SUMIF(Assistencies!B:B, D131, Assistencies!F:F)</f>
        <v>0</v>
      </c>
      <c r="I131" s="62">
        <f>SUMIF(Assistencies!B:B, D131, Assistencies!H:H)</f>
        <v>0</v>
      </c>
      <c r="J131">
        <f>SUMIF(Assistencies!B:B, D131, Assistencies!I:I)</f>
        <v>0</v>
      </c>
      <c r="K131">
        <f>SUMIF(Assistencies!B:B, D131, Assistencies!J:J)</f>
        <v>0</v>
      </c>
    </row>
    <row r="132" spans="1:11">
      <c r="A132" t="s">
        <v>148</v>
      </c>
      <c r="B132" t="s">
        <v>151</v>
      </c>
      <c r="C132" t="s">
        <v>276</v>
      </c>
      <c r="D132" s="47" t="s">
        <v>1247</v>
      </c>
      <c r="E132" t="s">
        <v>627</v>
      </c>
      <c r="F132" t="s">
        <v>625</v>
      </c>
      <c r="G132" t="s">
        <v>628</v>
      </c>
      <c r="H132" s="62">
        <f>SUMIF(Assistencies!B:B, D132, Assistencies!F:F)</f>
        <v>0</v>
      </c>
      <c r="I132" s="62">
        <f>SUMIF(Assistencies!B:B, D132, Assistencies!H:H)</f>
        <v>0</v>
      </c>
      <c r="J132">
        <f>SUMIF(Assistencies!B:B, D132, Assistencies!I:I)</f>
        <v>0</v>
      </c>
      <c r="K132">
        <f>SUMIF(Assistencies!B:B, D132, Assistencies!J:J)</f>
        <v>0</v>
      </c>
    </row>
    <row r="133" spans="1:11">
      <c r="A133" t="s">
        <v>148</v>
      </c>
      <c r="B133" t="s">
        <v>151</v>
      </c>
      <c r="C133" t="s">
        <v>276</v>
      </c>
      <c r="D133" s="47" t="s">
        <v>1248</v>
      </c>
      <c r="E133" t="s">
        <v>629</v>
      </c>
      <c r="F133" t="s">
        <v>271</v>
      </c>
      <c r="G133" t="s">
        <v>274</v>
      </c>
      <c r="H133" s="62">
        <f>SUMIF(Assistencies!B:B, D133, Assistencies!F:F)</f>
        <v>0</v>
      </c>
      <c r="I133" s="62">
        <f>SUMIF(Assistencies!B:B, D133, Assistencies!H:H)</f>
        <v>0</v>
      </c>
      <c r="J133">
        <f>SUMIF(Assistencies!B:B, D133, Assistencies!I:I)</f>
        <v>0</v>
      </c>
      <c r="K133">
        <f>SUMIF(Assistencies!B:B, D133, Assistencies!J:J)</f>
        <v>0</v>
      </c>
    </row>
    <row r="134" spans="1:11">
      <c r="A134" t="s">
        <v>148</v>
      </c>
      <c r="B134" t="s">
        <v>151</v>
      </c>
      <c r="C134" t="s">
        <v>276</v>
      </c>
      <c r="D134" s="47" t="s">
        <v>1249</v>
      </c>
      <c r="E134" t="s">
        <v>631</v>
      </c>
      <c r="F134" t="s">
        <v>630</v>
      </c>
      <c r="G134" t="s">
        <v>632</v>
      </c>
      <c r="H134" s="62">
        <f>SUMIF(Assistencies!B:B, D134, Assistencies!F:F)</f>
        <v>0</v>
      </c>
      <c r="I134" s="62">
        <f>SUMIF(Assistencies!B:B, D134, Assistencies!H:H)</f>
        <v>0</v>
      </c>
      <c r="J134">
        <f>SUMIF(Assistencies!B:B, D134, Assistencies!I:I)</f>
        <v>0</v>
      </c>
      <c r="K134">
        <f>SUMIF(Assistencies!B:B, D134, Assistencies!J:J)</f>
        <v>0</v>
      </c>
    </row>
    <row r="135" spans="1:11">
      <c r="A135" t="s">
        <v>148</v>
      </c>
      <c r="B135" t="s">
        <v>151</v>
      </c>
      <c r="C135" t="s">
        <v>276</v>
      </c>
      <c r="D135" s="47" t="s">
        <v>1250</v>
      </c>
      <c r="E135" t="s">
        <v>635</v>
      </c>
      <c r="F135" t="s">
        <v>633</v>
      </c>
      <c r="G135" t="s">
        <v>636</v>
      </c>
      <c r="H135" s="62">
        <f>SUMIF(Assistencies!B:B, D135, Assistencies!F:F)</f>
        <v>0</v>
      </c>
      <c r="I135" s="62">
        <f>SUMIF(Assistencies!B:B, D135, Assistencies!H:H)</f>
        <v>0</v>
      </c>
      <c r="J135">
        <f>SUMIF(Assistencies!B:B, D135, Assistencies!I:I)</f>
        <v>0</v>
      </c>
      <c r="K135">
        <f>SUMIF(Assistencies!B:B, D135, Assistencies!J:J)</f>
        <v>0</v>
      </c>
    </row>
    <row r="136" spans="1:11">
      <c r="A136" t="s">
        <v>148</v>
      </c>
      <c r="B136" t="s">
        <v>151</v>
      </c>
      <c r="C136" t="s">
        <v>276</v>
      </c>
      <c r="D136" s="47" t="s">
        <v>1251</v>
      </c>
      <c r="E136" t="s">
        <v>638</v>
      </c>
      <c r="F136" t="s">
        <v>637</v>
      </c>
      <c r="G136" t="s">
        <v>637</v>
      </c>
      <c r="H136" s="62">
        <f>SUMIF(Assistencies!B:B, D136, Assistencies!F:F)</f>
        <v>0</v>
      </c>
      <c r="I136" s="62">
        <f>SUMIF(Assistencies!B:B, D136, Assistencies!H:H)</f>
        <v>0</v>
      </c>
      <c r="J136">
        <f>SUMIF(Assistencies!B:B, D136, Assistencies!I:I)</f>
        <v>0</v>
      </c>
      <c r="K136">
        <f>SUMIF(Assistencies!B:B, D136, Assistencies!J:J)</f>
        <v>0</v>
      </c>
    </row>
    <row r="137" spans="1:11">
      <c r="A137" t="s">
        <v>148</v>
      </c>
      <c r="B137" t="s">
        <v>151</v>
      </c>
      <c r="C137" t="s">
        <v>276</v>
      </c>
      <c r="D137" s="47" t="s">
        <v>1252</v>
      </c>
      <c r="E137" t="s">
        <v>642</v>
      </c>
      <c r="F137" t="s">
        <v>640</v>
      </c>
      <c r="G137" t="s">
        <v>640</v>
      </c>
      <c r="H137" s="62">
        <f>SUMIF(Assistencies!B:B, D137, Assistencies!F:F)</f>
        <v>0</v>
      </c>
      <c r="I137" s="62">
        <f>SUMIF(Assistencies!B:B, D137, Assistencies!H:H)</f>
        <v>0</v>
      </c>
      <c r="J137">
        <f>SUMIF(Assistencies!B:B, D137, Assistencies!I:I)</f>
        <v>0</v>
      </c>
      <c r="K137">
        <f>SUMIF(Assistencies!B:B, D137, Assistencies!J:J)</f>
        <v>0</v>
      </c>
    </row>
    <row r="138" spans="1:11">
      <c r="A138" t="s">
        <v>148</v>
      </c>
      <c r="B138" t="s">
        <v>151</v>
      </c>
      <c r="C138" t="s">
        <v>276</v>
      </c>
      <c r="D138" s="47" t="s">
        <v>1253</v>
      </c>
      <c r="E138" t="s">
        <v>644</v>
      </c>
      <c r="F138" t="s">
        <v>643</v>
      </c>
      <c r="G138" t="s">
        <v>645</v>
      </c>
      <c r="H138" s="62">
        <f>SUMIF(Assistencies!B:B, D138, Assistencies!F:F)</f>
        <v>0</v>
      </c>
      <c r="I138" s="62">
        <f>SUMIF(Assistencies!B:B, D138, Assistencies!H:H)</f>
        <v>0</v>
      </c>
      <c r="J138">
        <f>SUMIF(Assistencies!B:B, D138, Assistencies!I:I)</f>
        <v>0</v>
      </c>
      <c r="K138">
        <f>SUMIF(Assistencies!B:B, D138, Assistencies!J:J)</f>
        <v>0</v>
      </c>
    </row>
    <row r="139" spans="1:11">
      <c r="A139" t="s">
        <v>148</v>
      </c>
      <c r="B139" t="s">
        <v>151</v>
      </c>
      <c r="C139" t="s">
        <v>276</v>
      </c>
      <c r="D139" s="47" t="s">
        <v>1254</v>
      </c>
      <c r="E139" t="s">
        <v>647</v>
      </c>
      <c r="F139" t="s">
        <v>646</v>
      </c>
      <c r="G139" t="s">
        <v>648</v>
      </c>
      <c r="H139" s="62">
        <f>SUMIF(Assistencies!B:B, D139, Assistencies!F:F)</f>
        <v>0</v>
      </c>
      <c r="I139" s="62">
        <f>SUMIF(Assistencies!B:B, D139, Assistencies!H:H)</f>
        <v>0</v>
      </c>
      <c r="J139">
        <f>SUMIF(Assistencies!B:B, D139, Assistencies!I:I)</f>
        <v>0</v>
      </c>
      <c r="K139">
        <f>SUMIF(Assistencies!B:B, D139, Assistencies!J:J)</f>
        <v>0</v>
      </c>
    </row>
    <row r="140" spans="1:11">
      <c r="A140" t="s">
        <v>148</v>
      </c>
      <c r="B140" t="s">
        <v>151</v>
      </c>
      <c r="C140" t="s">
        <v>276</v>
      </c>
      <c r="D140" s="47" t="s">
        <v>1255</v>
      </c>
      <c r="E140" t="s">
        <v>650</v>
      </c>
      <c r="F140" t="s">
        <v>649</v>
      </c>
      <c r="G140" t="s">
        <v>651</v>
      </c>
      <c r="H140" s="62">
        <f>SUMIF(Assistencies!B:B, D140, Assistencies!F:F)</f>
        <v>0</v>
      </c>
      <c r="I140" s="62">
        <f>SUMIF(Assistencies!B:B, D140, Assistencies!H:H)</f>
        <v>0</v>
      </c>
      <c r="J140">
        <f>SUMIF(Assistencies!B:B, D140, Assistencies!I:I)</f>
        <v>0</v>
      </c>
      <c r="K140">
        <f>SUMIF(Assistencies!B:B, D140, Assistencies!J:J)</f>
        <v>0</v>
      </c>
    </row>
    <row r="141" spans="1:11">
      <c r="A141" t="s">
        <v>148</v>
      </c>
      <c r="B141" t="s">
        <v>151</v>
      </c>
      <c r="C141" t="s">
        <v>276</v>
      </c>
      <c r="D141" s="47" t="s">
        <v>1256</v>
      </c>
      <c r="E141" t="s">
        <v>654</v>
      </c>
      <c r="F141" t="s">
        <v>652</v>
      </c>
      <c r="G141" t="s">
        <v>655</v>
      </c>
      <c r="H141" s="62">
        <f>SUMIF(Assistencies!B:B, D141, Assistencies!F:F)</f>
        <v>0</v>
      </c>
      <c r="I141" s="62">
        <f>SUMIF(Assistencies!B:B, D141, Assistencies!H:H)</f>
        <v>0</v>
      </c>
      <c r="J141">
        <f>SUMIF(Assistencies!B:B, D141, Assistencies!I:I)</f>
        <v>0</v>
      </c>
      <c r="K141">
        <f>SUMIF(Assistencies!B:B, D141, Assistencies!J:J)</f>
        <v>0</v>
      </c>
    </row>
    <row r="142" spans="1:11">
      <c r="A142" t="s">
        <v>148</v>
      </c>
      <c r="B142" t="s">
        <v>151</v>
      </c>
      <c r="C142" t="s">
        <v>276</v>
      </c>
      <c r="D142" s="47" t="s">
        <v>1257</v>
      </c>
      <c r="E142" t="s">
        <v>657</v>
      </c>
      <c r="F142" t="s">
        <v>656</v>
      </c>
      <c r="G142" t="s">
        <v>658</v>
      </c>
      <c r="H142" s="62">
        <f>SUMIF(Assistencies!B:B, D142, Assistencies!F:F)</f>
        <v>0</v>
      </c>
      <c r="I142" s="62">
        <f>SUMIF(Assistencies!B:B, D142, Assistencies!H:H)</f>
        <v>0</v>
      </c>
      <c r="J142">
        <f>SUMIF(Assistencies!B:B, D142, Assistencies!I:I)</f>
        <v>0</v>
      </c>
      <c r="K142">
        <f>SUMIF(Assistencies!B:B, D142, Assistencies!J:J)</f>
        <v>0</v>
      </c>
    </row>
    <row r="143" spans="1:11">
      <c r="A143" t="s">
        <v>148</v>
      </c>
      <c r="B143" t="s">
        <v>151</v>
      </c>
      <c r="C143" t="s">
        <v>276</v>
      </c>
      <c r="D143" s="47" t="s">
        <v>1258</v>
      </c>
      <c r="E143" t="s">
        <v>661</v>
      </c>
      <c r="F143" t="s">
        <v>659</v>
      </c>
      <c r="G143" t="s">
        <v>662</v>
      </c>
      <c r="H143" s="62">
        <f>SUMIF(Assistencies!B:B, D143, Assistencies!F:F)</f>
        <v>0</v>
      </c>
      <c r="I143" s="62">
        <f>SUMIF(Assistencies!B:B, D143, Assistencies!H:H)</f>
        <v>0</v>
      </c>
      <c r="J143">
        <f>SUMIF(Assistencies!B:B, D143, Assistencies!I:I)</f>
        <v>0</v>
      </c>
      <c r="K143">
        <f>SUMIF(Assistencies!B:B, D143, Assistencies!J:J)</f>
        <v>0</v>
      </c>
    </row>
    <row r="144" spans="1:11">
      <c r="A144" t="s">
        <v>148</v>
      </c>
      <c r="B144" t="s">
        <v>151</v>
      </c>
      <c r="C144" t="s">
        <v>276</v>
      </c>
      <c r="D144" s="47" t="s">
        <v>1259</v>
      </c>
      <c r="E144" t="s">
        <v>664</v>
      </c>
      <c r="F144" t="s">
        <v>663</v>
      </c>
      <c r="G144" t="s">
        <v>665</v>
      </c>
      <c r="H144" s="62">
        <f>SUMIF(Assistencies!B:B, D144, Assistencies!F:F)</f>
        <v>0</v>
      </c>
      <c r="I144" s="62">
        <f>SUMIF(Assistencies!B:B, D144, Assistencies!H:H)</f>
        <v>0</v>
      </c>
      <c r="J144">
        <f>SUMIF(Assistencies!B:B, D144, Assistencies!I:I)</f>
        <v>0</v>
      </c>
      <c r="K144">
        <f>SUMIF(Assistencies!B:B, D144, Assistencies!J:J)</f>
        <v>0</v>
      </c>
    </row>
    <row r="145" spans="1:11">
      <c r="A145" t="s">
        <v>148</v>
      </c>
      <c r="B145" t="s">
        <v>151</v>
      </c>
      <c r="C145" t="s">
        <v>276</v>
      </c>
      <c r="D145" s="47" t="s">
        <v>1260</v>
      </c>
      <c r="E145" t="s">
        <v>667</v>
      </c>
      <c r="F145" t="s">
        <v>666</v>
      </c>
      <c r="G145" t="s">
        <v>668</v>
      </c>
      <c r="H145" s="62">
        <f>SUMIF(Assistencies!B:B, D145, Assistencies!F:F)</f>
        <v>0</v>
      </c>
      <c r="I145" s="62">
        <f>SUMIF(Assistencies!B:B, D145, Assistencies!H:H)</f>
        <v>0</v>
      </c>
      <c r="J145">
        <f>SUMIF(Assistencies!B:B, D145, Assistencies!I:I)</f>
        <v>0</v>
      </c>
      <c r="K145">
        <f>SUMIF(Assistencies!B:B, D145, Assistencies!J:J)</f>
        <v>0</v>
      </c>
    </row>
    <row r="146" spans="1:11">
      <c r="A146" t="s">
        <v>148</v>
      </c>
      <c r="B146" t="s">
        <v>151</v>
      </c>
      <c r="C146" t="s">
        <v>276</v>
      </c>
      <c r="D146" s="47" t="s">
        <v>1261</v>
      </c>
      <c r="E146" t="s">
        <v>670</v>
      </c>
      <c r="F146" t="s">
        <v>669</v>
      </c>
      <c r="G146" t="s">
        <v>671</v>
      </c>
      <c r="H146" s="62">
        <f>SUMIF(Assistencies!B:B, D146, Assistencies!F:F)</f>
        <v>0</v>
      </c>
      <c r="I146" s="62">
        <f>SUMIF(Assistencies!B:B, D146, Assistencies!H:H)</f>
        <v>0</v>
      </c>
      <c r="J146">
        <f>SUMIF(Assistencies!B:B, D146, Assistencies!I:I)</f>
        <v>0</v>
      </c>
      <c r="K146">
        <f>SUMIF(Assistencies!B:B, D146, Assistencies!J:J)</f>
        <v>0</v>
      </c>
    </row>
    <row r="147" spans="1:11">
      <c r="A147" t="s">
        <v>148</v>
      </c>
      <c r="B147" t="s">
        <v>151</v>
      </c>
      <c r="C147" t="s">
        <v>276</v>
      </c>
      <c r="D147" s="47" t="s">
        <v>1262</v>
      </c>
      <c r="E147" t="s">
        <v>675</v>
      </c>
      <c r="F147" t="s">
        <v>672</v>
      </c>
      <c r="G147" t="s">
        <v>672</v>
      </c>
      <c r="H147" s="62">
        <f>SUMIF(Assistencies!B:B, D147, Assistencies!F:F)</f>
        <v>0</v>
      </c>
      <c r="I147" s="62">
        <f>SUMIF(Assistencies!B:B, D147, Assistencies!H:H)</f>
        <v>0</v>
      </c>
      <c r="J147">
        <f>SUMIF(Assistencies!B:B, D147, Assistencies!I:I)</f>
        <v>0</v>
      </c>
      <c r="K147">
        <f>SUMIF(Assistencies!B:B, D147, Assistencies!J:J)</f>
        <v>0</v>
      </c>
    </row>
    <row r="148" spans="1:11">
      <c r="A148" t="s">
        <v>148</v>
      </c>
      <c r="B148" t="s">
        <v>151</v>
      </c>
      <c r="C148" t="s">
        <v>276</v>
      </c>
      <c r="D148" s="47" t="s">
        <v>1263</v>
      </c>
      <c r="E148" t="s">
        <v>677</v>
      </c>
      <c r="F148" t="s">
        <v>676</v>
      </c>
      <c r="G148" t="s">
        <v>678</v>
      </c>
      <c r="H148" s="62">
        <f>SUMIF(Assistencies!B:B, D148, Assistencies!F:F)</f>
        <v>0</v>
      </c>
      <c r="I148" s="62">
        <f>SUMIF(Assistencies!B:B, D148, Assistencies!H:H)</f>
        <v>0</v>
      </c>
      <c r="J148">
        <f>SUMIF(Assistencies!B:B, D148, Assistencies!I:I)</f>
        <v>0</v>
      </c>
      <c r="K148">
        <f>SUMIF(Assistencies!B:B, D148, Assistencies!J:J)</f>
        <v>0</v>
      </c>
    </row>
    <row r="149" spans="1:11">
      <c r="A149" t="s">
        <v>148</v>
      </c>
      <c r="B149" t="s">
        <v>151</v>
      </c>
      <c r="C149" t="s">
        <v>276</v>
      </c>
      <c r="D149" s="47" t="s">
        <v>1264</v>
      </c>
      <c r="E149" t="s">
        <v>680</v>
      </c>
      <c r="F149" t="s">
        <v>679</v>
      </c>
      <c r="G149" t="s">
        <v>681</v>
      </c>
      <c r="H149" s="62">
        <f>SUMIF(Assistencies!B:B, D149, Assistencies!F:F)</f>
        <v>0</v>
      </c>
      <c r="I149" s="62">
        <f>SUMIF(Assistencies!B:B, D149, Assistencies!H:H)</f>
        <v>0</v>
      </c>
      <c r="J149">
        <f>SUMIF(Assistencies!B:B, D149, Assistencies!I:I)</f>
        <v>0</v>
      </c>
      <c r="K149">
        <f>SUMIF(Assistencies!B:B, D149, Assistencies!J:J)</f>
        <v>0</v>
      </c>
    </row>
    <row r="150" spans="1:11">
      <c r="A150" t="s">
        <v>148</v>
      </c>
      <c r="B150" t="s">
        <v>154</v>
      </c>
      <c r="C150" t="s">
        <v>107</v>
      </c>
      <c r="D150" s="47" t="s">
        <v>1265</v>
      </c>
      <c r="E150" t="s">
        <v>153</v>
      </c>
      <c r="F150" t="s">
        <v>152</v>
      </c>
      <c r="G150" t="s">
        <v>152</v>
      </c>
      <c r="H150" s="62">
        <f>SUMIF(Assistencies!B:B, D150, Assistencies!F:F)</f>
        <v>0</v>
      </c>
      <c r="I150" s="62">
        <f>SUMIF(Assistencies!B:B, D150, Assistencies!H:H)</f>
        <v>0</v>
      </c>
      <c r="J150">
        <f>SUMIF(Assistencies!B:B, D150, Assistencies!I:I)</f>
        <v>0</v>
      </c>
      <c r="K150">
        <f>SUMIF(Assistencies!B:B, D150, Assistencies!J:J)</f>
        <v>0</v>
      </c>
    </row>
    <row r="151" spans="1:11">
      <c r="A151" t="s">
        <v>148</v>
      </c>
      <c r="B151" t="s">
        <v>157</v>
      </c>
      <c r="C151" t="s">
        <v>107</v>
      </c>
      <c r="D151" s="47" t="s">
        <v>1266</v>
      </c>
      <c r="E151" t="s">
        <v>156</v>
      </c>
      <c r="F151" t="s">
        <v>155</v>
      </c>
      <c r="G151" t="s">
        <v>155</v>
      </c>
      <c r="H151" s="62">
        <f>SUMIF(Assistencies!B:B, D151, Assistencies!F:F)</f>
        <v>0</v>
      </c>
      <c r="I151" s="62">
        <f>SUMIF(Assistencies!B:B, D151, Assistencies!H:H)</f>
        <v>0</v>
      </c>
      <c r="J151">
        <f>SUMIF(Assistencies!B:B, D151, Assistencies!I:I)</f>
        <v>0</v>
      </c>
      <c r="K151">
        <f>SUMIF(Assistencies!B:B, D151, Assistencies!J:J)</f>
        <v>0</v>
      </c>
    </row>
    <row r="152" spans="1:11">
      <c r="A152" t="s">
        <v>148</v>
      </c>
      <c r="B152" t="s">
        <v>160</v>
      </c>
      <c r="C152" t="s">
        <v>107</v>
      </c>
      <c r="D152" s="47" t="s">
        <v>1267</v>
      </c>
      <c r="E152" t="s">
        <v>159</v>
      </c>
      <c r="F152" t="s">
        <v>158</v>
      </c>
      <c r="G152" t="s">
        <v>158</v>
      </c>
      <c r="H152" s="62">
        <f>SUMIF(Assistencies!B:B, D152, Assistencies!F:F)</f>
        <v>0</v>
      </c>
      <c r="I152" s="62">
        <f>SUMIF(Assistencies!B:B, D152, Assistencies!H:H)</f>
        <v>0</v>
      </c>
      <c r="J152">
        <f>SUMIF(Assistencies!B:B, D152, Assistencies!I:I)</f>
        <v>0</v>
      </c>
      <c r="K152">
        <f>SUMIF(Assistencies!B:B, D152, Assistencies!J:J)</f>
        <v>0</v>
      </c>
    </row>
    <row r="153" spans="1:11">
      <c r="A153" t="s">
        <v>148</v>
      </c>
      <c r="B153" t="s">
        <v>160</v>
      </c>
      <c r="C153" t="s">
        <v>107</v>
      </c>
      <c r="D153" s="47" t="s">
        <v>1268</v>
      </c>
      <c r="E153" t="s">
        <v>229</v>
      </c>
      <c r="F153" t="s">
        <v>228</v>
      </c>
      <c r="G153" t="s">
        <v>228</v>
      </c>
      <c r="H153" s="62">
        <f>SUMIF(Assistencies!B:B, D153, Assistencies!F:F)</f>
        <v>0</v>
      </c>
      <c r="I153" s="62">
        <f>SUMIF(Assistencies!B:B, D153, Assistencies!H:H)</f>
        <v>0</v>
      </c>
      <c r="J153">
        <f>SUMIF(Assistencies!B:B, D153, Assistencies!I:I)</f>
        <v>0</v>
      </c>
      <c r="K153">
        <f>SUMIF(Assistencies!B:B, D153, Assistencies!J:J)</f>
        <v>0</v>
      </c>
    </row>
    <row r="154" spans="1:11">
      <c r="A154" t="s">
        <v>148</v>
      </c>
      <c r="B154" t="s">
        <v>160</v>
      </c>
      <c r="C154" t="s">
        <v>276</v>
      </c>
      <c r="D154" s="47" t="s">
        <v>1269</v>
      </c>
      <c r="E154" t="s">
        <v>684</v>
      </c>
      <c r="F154" t="s">
        <v>682</v>
      </c>
      <c r="G154" t="s">
        <v>682</v>
      </c>
      <c r="H154" s="62">
        <f>SUMIF(Assistencies!B:B, D154, Assistencies!F:F)</f>
        <v>0</v>
      </c>
      <c r="I154" s="62">
        <f>SUMIF(Assistencies!B:B, D154, Assistencies!H:H)</f>
        <v>0</v>
      </c>
      <c r="J154">
        <f>SUMIF(Assistencies!B:B, D154, Assistencies!I:I)</f>
        <v>0</v>
      </c>
      <c r="K154">
        <f>SUMIF(Assistencies!B:B, D154, Assistencies!J:J)</f>
        <v>0</v>
      </c>
    </row>
    <row r="155" spans="1:11">
      <c r="A155" t="s">
        <v>148</v>
      </c>
      <c r="B155" t="s">
        <v>160</v>
      </c>
      <c r="C155" t="s">
        <v>276</v>
      </c>
      <c r="D155" s="47" t="s">
        <v>1270</v>
      </c>
      <c r="E155" t="s">
        <v>685</v>
      </c>
      <c r="F155" t="s">
        <v>158</v>
      </c>
      <c r="G155" t="s">
        <v>158</v>
      </c>
      <c r="H155" s="62">
        <f>SUMIF(Assistencies!B:B, D155, Assistencies!F:F)</f>
        <v>0</v>
      </c>
      <c r="I155" s="62">
        <f>SUMIF(Assistencies!B:B, D155, Assistencies!H:H)</f>
        <v>0</v>
      </c>
      <c r="J155">
        <f>SUMIF(Assistencies!B:B, D155, Assistencies!I:I)</f>
        <v>0</v>
      </c>
      <c r="K155">
        <f>SUMIF(Assistencies!B:B, D155, Assistencies!J:J)</f>
        <v>0</v>
      </c>
    </row>
    <row r="156" spans="1:11">
      <c r="A156" t="s">
        <v>148</v>
      </c>
      <c r="B156" t="s">
        <v>160</v>
      </c>
      <c r="C156" t="s">
        <v>276</v>
      </c>
      <c r="D156" s="47" t="s">
        <v>1271</v>
      </c>
      <c r="E156" t="s">
        <v>687</v>
      </c>
      <c r="F156" t="s">
        <v>686</v>
      </c>
      <c r="G156" t="s">
        <v>688</v>
      </c>
      <c r="H156" s="62">
        <f>SUMIF(Assistencies!B:B, D156, Assistencies!F:F)</f>
        <v>0</v>
      </c>
      <c r="I156" s="62">
        <f>SUMIF(Assistencies!B:B, D156, Assistencies!H:H)</f>
        <v>0</v>
      </c>
      <c r="J156">
        <f>SUMIF(Assistencies!B:B, D156, Assistencies!I:I)</f>
        <v>0</v>
      </c>
      <c r="K156">
        <f>SUMIF(Assistencies!B:B, D156, Assistencies!J:J)</f>
        <v>0</v>
      </c>
    </row>
    <row r="157" spans="1:11">
      <c r="A157" t="s">
        <v>148</v>
      </c>
      <c r="B157" t="s">
        <v>160</v>
      </c>
      <c r="C157" t="s">
        <v>276</v>
      </c>
      <c r="D157" s="47" t="s">
        <v>1272</v>
      </c>
      <c r="E157" t="s">
        <v>690</v>
      </c>
      <c r="F157" t="s">
        <v>689</v>
      </c>
      <c r="G157" t="s">
        <v>691</v>
      </c>
      <c r="H157" s="62">
        <f>SUMIF(Assistencies!B:B, D157, Assistencies!F:F)</f>
        <v>0</v>
      </c>
      <c r="I157" s="62">
        <f>SUMIF(Assistencies!B:B, D157, Assistencies!H:H)</f>
        <v>0</v>
      </c>
      <c r="J157">
        <f>SUMIF(Assistencies!B:B, D157, Assistencies!I:I)</f>
        <v>0</v>
      </c>
      <c r="K157">
        <f>SUMIF(Assistencies!B:B, D157, Assistencies!J:J)</f>
        <v>0</v>
      </c>
    </row>
    <row r="158" spans="1:11">
      <c r="A158" t="s">
        <v>148</v>
      </c>
      <c r="B158" t="s">
        <v>163</v>
      </c>
      <c r="C158" t="s">
        <v>107</v>
      </c>
      <c r="D158" s="47" t="s">
        <v>1273</v>
      </c>
      <c r="E158" t="s">
        <v>162</v>
      </c>
      <c r="F158" t="s">
        <v>161</v>
      </c>
      <c r="G158" t="s">
        <v>693</v>
      </c>
      <c r="H158" s="62">
        <f>SUMIF(Assistencies!B:B, D158, Assistencies!F:F)</f>
        <v>0</v>
      </c>
      <c r="I158" s="62">
        <f>SUMIF(Assistencies!B:B, D158, Assistencies!H:H)</f>
        <v>0</v>
      </c>
      <c r="J158">
        <f>SUMIF(Assistencies!B:B, D158, Assistencies!I:I)</f>
        <v>0</v>
      </c>
      <c r="K158">
        <f>SUMIF(Assistencies!B:B, D158, Assistencies!J:J)</f>
        <v>0</v>
      </c>
    </row>
    <row r="159" spans="1:11">
      <c r="A159" t="s">
        <v>148</v>
      </c>
      <c r="B159" t="s">
        <v>163</v>
      </c>
      <c r="C159" t="s">
        <v>276</v>
      </c>
      <c r="D159" s="47" t="s">
        <v>1274</v>
      </c>
      <c r="E159" t="s">
        <v>695</v>
      </c>
      <c r="F159" t="s">
        <v>694</v>
      </c>
      <c r="G159" t="s">
        <v>696</v>
      </c>
      <c r="H159" s="62">
        <f>SUMIF(Assistencies!B:B, D159, Assistencies!F:F)</f>
        <v>0</v>
      </c>
      <c r="I159" s="62">
        <f>SUMIF(Assistencies!B:B, D159, Assistencies!H:H)</f>
        <v>0</v>
      </c>
      <c r="J159">
        <f>SUMIF(Assistencies!B:B, D159, Assistencies!I:I)</f>
        <v>0</v>
      </c>
      <c r="K159">
        <f>SUMIF(Assistencies!B:B, D159, Assistencies!J:J)</f>
        <v>0</v>
      </c>
    </row>
    <row r="160" spans="1:11">
      <c r="A160" t="s">
        <v>148</v>
      </c>
      <c r="B160" t="s">
        <v>163</v>
      </c>
      <c r="C160" t="s">
        <v>276</v>
      </c>
      <c r="D160" s="47" t="s">
        <v>1275</v>
      </c>
      <c r="E160" t="s">
        <v>698</v>
      </c>
      <c r="F160" t="s">
        <v>697</v>
      </c>
      <c r="G160" t="s">
        <v>699</v>
      </c>
      <c r="H160" s="62">
        <f>SUMIF(Assistencies!B:B, D160, Assistencies!F:F)</f>
        <v>0</v>
      </c>
      <c r="I160" s="62">
        <f>SUMIF(Assistencies!B:B, D160, Assistencies!H:H)</f>
        <v>0</v>
      </c>
      <c r="J160">
        <f>SUMIF(Assistencies!B:B, D160, Assistencies!I:I)</f>
        <v>0</v>
      </c>
      <c r="K160">
        <f>SUMIF(Assistencies!B:B, D160, Assistencies!J:J)</f>
        <v>0</v>
      </c>
    </row>
    <row r="161" spans="1:11">
      <c r="A161" t="s">
        <v>148</v>
      </c>
      <c r="B161" t="s">
        <v>163</v>
      </c>
      <c r="C161" t="s">
        <v>276</v>
      </c>
      <c r="D161" s="47" t="s">
        <v>1276</v>
      </c>
      <c r="E161" t="s">
        <v>702</v>
      </c>
      <c r="F161" t="s">
        <v>700</v>
      </c>
      <c r="G161" t="s">
        <v>700</v>
      </c>
      <c r="H161" s="62">
        <f>SUMIF(Assistencies!B:B, D161, Assistencies!F:F)</f>
        <v>0</v>
      </c>
      <c r="I161" s="62">
        <f>SUMIF(Assistencies!B:B, D161, Assistencies!H:H)</f>
        <v>0</v>
      </c>
      <c r="J161">
        <f>SUMIF(Assistencies!B:B, D161, Assistencies!I:I)</f>
        <v>0</v>
      </c>
      <c r="K161">
        <f>SUMIF(Assistencies!B:B, D161, Assistencies!J:J)</f>
        <v>0</v>
      </c>
    </row>
    <row r="162" spans="1:11">
      <c r="A162" t="s">
        <v>148</v>
      </c>
      <c r="B162" t="s">
        <v>163</v>
      </c>
      <c r="C162" t="s">
        <v>276</v>
      </c>
      <c r="D162" s="47" t="s">
        <v>1277</v>
      </c>
      <c r="E162" t="s">
        <v>705</v>
      </c>
      <c r="F162" t="s">
        <v>703</v>
      </c>
      <c r="G162" t="s">
        <v>703</v>
      </c>
      <c r="H162" s="62">
        <f>SUMIF(Assistencies!B:B, D162, Assistencies!F:F)</f>
        <v>0</v>
      </c>
      <c r="I162" s="62">
        <f>SUMIF(Assistencies!B:B, D162, Assistencies!H:H)</f>
        <v>0</v>
      </c>
      <c r="J162">
        <f>SUMIF(Assistencies!B:B, D162, Assistencies!I:I)</f>
        <v>0</v>
      </c>
      <c r="K162">
        <f>SUMIF(Assistencies!B:B, D162, Assistencies!J:J)</f>
        <v>0</v>
      </c>
    </row>
    <row r="163" spans="1:11">
      <c r="A163" t="s">
        <v>148</v>
      </c>
      <c r="B163" t="s">
        <v>166</v>
      </c>
      <c r="C163" t="s">
        <v>107</v>
      </c>
      <c r="D163" s="47" t="s">
        <v>1278</v>
      </c>
      <c r="E163" t="s">
        <v>165</v>
      </c>
      <c r="F163" t="s">
        <v>164</v>
      </c>
      <c r="G163" t="s">
        <v>707</v>
      </c>
      <c r="H163" s="62">
        <f>SUMIF(Assistencies!B:B, D163, Assistencies!F:F)</f>
        <v>0</v>
      </c>
      <c r="I163" s="62">
        <f>SUMIF(Assistencies!B:B, D163, Assistencies!H:H)</f>
        <v>0</v>
      </c>
      <c r="J163">
        <f>SUMIF(Assistencies!B:B, D163, Assistencies!I:I)</f>
        <v>0</v>
      </c>
      <c r="K163">
        <f>SUMIF(Assistencies!B:B, D163, Assistencies!J:J)</f>
        <v>0</v>
      </c>
    </row>
    <row r="164" spans="1:11">
      <c r="A164" t="s">
        <v>148</v>
      </c>
      <c r="B164" t="s">
        <v>166</v>
      </c>
      <c r="C164" t="s">
        <v>276</v>
      </c>
      <c r="D164" s="47" t="s">
        <v>1279</v>
      </c>
      <c r="E164" t="s">
        <v>706</v>
      </c>
      <c r="F164" t="s">
        <v>164</v>
      </c>
      <c r="G164" t="s">
        <v>707</v>
      </c>
      <c r="H164" s="62">
        <f>SUMIF(Assistencies!B:B, D164, Assistencies!F:F)</f>
        <v>0</v>
      </c>
      <c r="I164" s="62">
        <f>SUMIF(Assistencies!B:B, D164, Assistencies!H:H)</f>
        <v>0</v>
      </c>
      <c r="J164">
        <f>SUMIF(Assistencies!B:B, D164, Assistencies!I:I)</f>
        <v>0</v>
      </c>
      <c r="K164">
        <f>SUMIF(Assistencies!B:B, D164, Assistencies!J:J)</f>
        <v>0</v>
      </c>
    </row>
    <row r="165" spans="1:11">
      <c r="A165" t="s">
        <v>148</v>
      </c>
      <c r="B165" t="s">
        <v>698</v>
      </c>
      <c r="C165" t="s">
        <v>276</v>
      </c>
      <c r="D165" s="47" t="s">
        <v>1280</v>
      </c>
      <c r="E165" t="s">
        <v>710</v>
      </c>
      <c r="F165" t="s">
        <v>708</v>
      </c>
      <c r="G165" t="s">
        <v>711</v>
      </c>
      <c r="H165" s="62">
        <f>SUMIF(Assistencies!B:B, D165, Assistencies!F:F)</f>
        <v>0</v>
      </c>
      <c r="I165" s="62">
        <f>SUMIF(Assistencies!B:B, D165, Assistencies!H:H)</f>
        <v>0</v>
      </c>
      <c r="J165">
        <f>SUMIF(Assistencies!B:B, D165, Assistencies!I:I)</f>
        <v>0</v>
      </c>
      <c r="K165">
        <f>SUMIF(Assistencies!B:B, D165, Assistencies!J:J)</f>
        <v>0</v>
      </c>
    </row>
    <row r="166" spans="1:11">
      <c r="A166" t="s">
        <v>148</v>
      </c>
      <c r="B166" t="s">
        <v>169</v>
      </c>
      <c r="C166" t="s">
        <v>107</v>
      </c>
      <c r="D166" s="47" t="s">
        <v>1281</v>
      </c>
      <c r="E166" t="s">
        <v>168</v>
      </c>
      <c r="F166" t="s">
        <v>167</v>
      </c>
      <c r="G166" t="s">
        <v>167</v>
      </c>
      <c r="H166" s="62">
        <f>SUMIF(Assistencies!B:B, D166, Assistencies!F:F)</f>
        <v>0</v>
      </c>
      <c r="I166" s="62">
        <f>SUMIF(Assistencies!B:B, D166, Assistencies!H:H)</f>
        <v>0</v>
      </c>
      <c r="J166">
        <f>SUMIF(Assistencies!B:B, D166, Assistencies!I:I)</f>
        <v>0</v>
      </c>
      <c r="K166">
        <f>SUMIF(Assistencies!B:B, D166, Assistencies!J:J)</f>
        <v>0</v>
      </c>
    </row>
    <row r="167" spans="1:11">
      <c r="A167" t="s">
        <v>148</v>
      </c>
      <c r="B167" t="s">
        <v>169</v>
      </c>
      <c r="C167" t="s">
        <v>276</v>
      </c>
      <c r="D167" s="47" t="s">
        <v>1282</v>
      </c>
      <c r="E167" t="s">
        <v>713</v>
      </c>
      <c r="F167" t="s">
        <v>712</v>
      </c>
      <c r="G167" t="s">
        <v>714</v>
      </c>
      <c r="H167" s="62">
        <f>SUMIF(Assistencies!B:B, D167, Assistencies!F:F)</f>
        <v>0</v>
      </c>
      <c r="I167" s="62">
        <f>SUMIF(Assistencies!B:B, D167, Assistencies!H:H)</f>
        <v>0</v>
      </c>
      <c r="J167">
        <f>SUMIF(Assistencies!B:B, D167, Assistencies!I:I)</f>
        <v>0</v>
      </c>
      <c r="K167">
        <f>SUMIF(Assistencies!B:B, D167, Assistencies!J:J)</f>
        <v>0</v>
      </c>
    </row>
    <row r="168" spans="1:11">
      <c r="A168" t="s">
        <v>148</v>
      </c>
      <c r="B168" t="s">
        <v>169</v>
      </c>
      <c r="C168" t="s">
        <v>276</v>
      </c>
      <c r="D168" s="47" t="s">
        <v>1283</v>
      </c>
      <c r="E168" t="s">
        <v>716</v>
      </c>
      <c r="F168" t="s">
        <v>715</v>
      </c>
      <c r="G168" t="s">
        <v>717</v>
      </c>
      <c r="H168" s="62">
        <f>SUMIF(Assistencies!B:B, D168, Assistencies!F:F)</f>
        <v>0</v>
      </c>
      <c r="I168" s="62">
        <f>SUMIF(Assistencies!B:B, D168, Assistencies!H:H)</f>
        <v>0</v>
      </c>
      <c r="J168">
        <f>SUMIF(Assistencies!B:B, D168, Assistencies!I:I)</f>
        <v>0</v>
      </c>
      <c r="K168">
        <f>SUMIF(Assistencies!B:B, D168, Assistencies!J:J)</f>
        <v>0</v>
      </c>
    </row>
    <row r="169" spans="1:11">
      <c r="A169" t="s">
        <v>148</v>
      </c>
      <c r="B169" t="s">
        <v>169</v>
      </c>
      <c r="C169" t="s">
        <v>276</v>
      </c>
      <c r="D169" s="47" t="s">
        <v>1284</v>
      </c>
      <c r="E169" t="s">
        <v>720</v>
      </c>
      <c r="F169" t="s">
        <v>718</v>
      </c>
      <c r="G169" t="s">
        <v>721</v>
      </c>
      <c r="H169" s="62">
        <f>SUMIF(Assistencies!B:B, D169, Assistencies!F:F)</f>
        <v>0</v>
      </c>
      <c r="I169" s="62">
        <f>SUMIF(Assistencies!B:B, D169, Assistencies!H:H)</f>
        <v>0</v>
      </c>
      <c r="J169">
        <f>SUMIF(Assistencies!B:B, D169, Assistencies!I:I)</f>
        <v>0</v>
      </c>
      <c r="K169">
        <f>SUMIF(Assistencies!B:B, D169, Assistencies!J:J)</f>
        <v>0</v>
      </c>
    </row>
    <row r="170" spans="1:11">
      <c r="A170" t="s">
        <v>148</v>
      </c>
      <c r="B170" t="s">
        <v>169</v>
      </c>
      <c r="C170" t="s">
        <v>276</v>
      </c>
      <c r="D170" s="47" t="s">
        <v>1285</v>
      </c>
      <c r="E170" t="s">
        <v>724</v>
      </c>
      <c r="F170" t="s">
        <v>722</v>
      </c>
      <c r="G170" t="s">
        <v>725</v>
      </c>
      <c r="H170" s="62">
        <f>SUMIF(Assistencies!B:B, D170, Assistencies!F:F)</f>
        <v>0</v>
      </c>
      <c r="I170" s="62">
        <f>SUMIF(Assistencies!B:B, D170, Assistencies!H:H)</f>
        <v>0</v>
      </c>
      <c r="J170">
        <f>SUMIF(Assistencies!B:B, D170, Assistencies!I:I)</f>
        <v>0</v>
      </c>
      <c r="K170">
        <f>SUMIF(Assistencies!B:B, D170, Assistencies!J:J)</f>
        <v>0</v>
      </c>
    </row>
    <row r="171" spans="1:11">
      <c r="A171" t="s">
        <v>148</v>
      </c>
      <c r="B171" t="s">
        <v>169</v>
      </c>
      <c r="C171" t="s">
        <v>276</v>
      </c>
      <c r="D171" s="47" t="s">
        <v>1286</v>
      </c>
      <c r="E171" t="s">
        <v>727</v>
      </c>
      <c r="F171" t="s">
        <v>726</v>
      </c>
      <c r="G171" t="s">
        <v>726</v>
      </c>
      <c r="H171" s="62">
        <f>SUMIF(Assistencies!B:B, D171, Assistencies!F:F)</f>
        <v>0</v>
      </c>
      <c r="I171" s="62">
        <f>SUMIF(Assistencies!B:B, D171, Assistencies!H:H)</f>
        <v>0</v>
      </c>
      <c r="J171">
        <f>SUMIF(Assistencies!B:B, D171, Assistencies!I:I)</f>
        <v>0</v>
      </c>
      <c r="K171">
        <f>SUMIF(Assistencies!B:B, D171, Assistencies!J:J)</f>
        <v>0</v>
      </c>
    </row>
    <row r="172" spans="1:11">
      <c r="A172" t="s">
        <v>148</v>
      </c>
      <c r="B172" t="s">
        <v>169</v>
      </c>
      <c r="C172" t="s">
        <v>276</v>
      </c>
      <c r="D172" s="47" t="s">
        <v>1287</v>
      </c>
      <c r="E172" t="s">
        <v>729</v>
      </c>
      <c r="F172" t="s">
        <v>728</v>
      </c>
      <c r="G172" t="s">
        <v>730</v>
      </c>
      <c r="H172" s="62">
        <f>SUMIF(Assistencies!B:B, D172, Assistencies!F:F)</f>
        <v>0</v>
      </c>
      <c r="I172" s="62">
        <f>SUMIF(Assistencies!B:B, D172, Assistencies!H:H)</f>
        <v>0</v>
      </c>
      <c r="J172">
        <f>SUMIF(Assistencies!B:B, D172, Assistencies!I:I)</f>
        <v>0</v>
      </c>
      <c r="K172">
        <f>SUMIF(Assistencies!B:B, D172, Assistencies!J:J)</f>
        <v>0</v>
      </c>
    </row>
    <row r="173" spans="1:11">
      <c r="A173" t="s">
        <v>148</v>
      </c>
      <c r="B173" t="s">
        <v>169</v>
      </c>
      <c r="C173" t="s">
        <v>276</v>
      </c>
      <c r="D173" s="47" t="s">
        <v>1288</v>
      </c>
      <c r="E173" t="s">
        <v>733</v>
      </c>
      <c r="F173" t="s">
        <v>731</v>
      </c>
      <c r="G173" t="s">
        <v>731</v>
      </c>
      <c r="H173" s="62">
        <f>SUMIF(Assistencies!B:B, D173, Assistencies!F:F)</f>
        <v>0</v>
      </c>
      <c r="I173" s="62">
        <f>SUMIF(Assistencies!B:B, D173, Assistencies!H:H)</f>
        <v>0</v>
      </c>
      <c r="J173">
        <f>SUMIF(Assistencies!B:B, D173, Assistencies!I:I)</f>
        <v>0</v>
      </c>
      <c r="K173">
        <f>SUMIF(Assistencies!B:B, D173, Assistencies!J:J)</f>
        <v>0</v>
      </c>
    </row>
    <row r="174" spans="1:11">
      <c r="A174" t="s">
        <v>148</v>
      </c>
      <c r="B174" t="s">
        <v>169</v>
      </c>
      <c r="C174" t="s">
        <v>276</v>
      </c>
      <c r="D174" s="47" t="s">
        <v>1289</v>
      </c>
      <c r="E174" t="s">
        <v>735</v>
      </c>
      <c r="F174" t="s">
        <v>734</v>
      </c>
      <c r="G174" t="s">
        <v>734</v>
      </c>
      <c r="H174" s="62">
        <f>SUMIF(Assistencies!B:B, D174, Assistencies!F:F)</f>
        <v>0</v>
      </c>
      <c r="I174" s="62">
        <f>SUMIF(Assistencies!B:B, D174, Assistencies!H:H)</f>
        <v>0</v>
      </c>
      <c r="J174">
        <f>SUMIF(Assistencies!B:B, D174, Assistencies!I:I)</f>
        <v>0</v>
      </c>
      <c r="K174">
        <f>SUMIF(Assistencies!B:B, D174, Assistencies!J:J)</f>
        <v>0</v>
      </c>
    </row>
    <row r="175" spans="1:11">
      <c r="A175" t="s">
        <v>148</v>
      </c>
      <c r="B175" t="s">
        <v>169</v>
      </c>
      <c r="C175" t="s">
        <v>276</v>
      </c>
      <c r="D175" s="47" t="s">
        <v>1290</v>
      </c>
      <c r="E175" t="s">
        <v>738</v>
      </c>
      <c r="F175" t="s">
        <v>736</v>
      </c>
      <c r="G175" t="s">
        <v>739</v>
      </c>
      <c r="H175" s="62">
        <f>SUMIF(Assistencies!B:B, D175, Assistencies!F:F)</f>
        <v>0</v>
      </c>
      <c r="I175" s="62">
        <f>SUMIF(Assistencies!B:B, D175, Assistencies!H:H)</f>
        <v>0</v>
      </c>
      <c r="J175">
        <f>SUMIF(Assistencies!B:B, D175, Assistencies!I:I)</f>
        <v>0</v>
      </c>
      <c r="K175">
        <f>SUMIF(Assistencies!B:B, D175, Assistencies!J:J)</f>
        <v>0</v>
      </c>
    </row>
    <row r="176" spans="1:11">
      <c r="A176" t="s">
        <v>148</v>
      </c>
      <c r="B176" t="s">
        <v>169</v>
      </c>
      <c r="C176" t="s">
        <v>276</v>
      </c>
      <c r="D176" s="47" t="s">
        <v>1291</v>
      </c>
      <c r="E176" t="s">
        <v>741</v>
      </c>
      <c r="F176" t="s">
        <v>740</v>
      </c>
      <c r="G176" t="s">
        <v>742</v>
      </c>
      <c r="H176" s="62">
        <f>SUMIF(Assistencies!B:B, D176, Assistencies!F:F)</f>
        <v>0</v>
      </c>
      <c r="I176" s="62">
        <f>SUMIF(Assistencies!B:B, D176, Assistencies!H:H)</f>
        <v>0</v>
      </c>
      <c r="J176">
        <f>SUMIF(Assistencies!B:B, D176, Assistencies!I:I)</f>
        <v>0</v>
      </c>
      <c r="K176">
        <f>SUMIF(Assistencies!B:B, D176, Assistencies!J:J)</f>
        <v>0</v>
      </c>
    </row>
    <row r="177" spans="1:11">
      <c r="A177" t="s">
        <v>148</v>
      </c>
      <c r="B177" t="s">
        <v>172</v>
      </c>
      <c r="C177" t="s">
        <v>107</v>
      </c>
      <c r="D177" s="47" t="s">
        <v>1292</v>
      </c>
      <c r="E177" t="s">
        <v>171</v>
      </c>
      <c r="F177" t="s">
        <v>170</v>
      </c>
      <c r="G177" t="s">
        <v>170</v>
      </c>
      <c r="H177" s="62">
        <f>SUMIF(Assistencies!B:B, D177, Assistencies!F:F)</f>
        <v>0</v>
      </c>
      <c r="I177" s="62">
        <f>SUMIF(Assistencies!B:B, D177, Assistencies!H:H)</f>
        <v>0</v>
      </c>
      <c r="J177">
        <f>SUMIF(Assistencies!B:B, D177, Assistencies!I:I)</f>
        <v>0</v>
      </c>
      <c r="K177">
        <f>SUMIF(Assistencies!B:B, D177, Assistencies!J:J)</f>
        <v>0</v>
      </c>
    </row>
    <row r="178" spans="1:11">
      <c r="A178" t="s">
        <v>148</v>
      </c>
      <c r="B178" t="s">
        <v>172</v>
      </c>
      <c r="C178" t="s">
        <v>276</v>
      </c>
      <c r="D178" s="47" t="s">
        <v>1293</v>
      </c>
      <c r="E178" t="s">
        <v>745</v>
      </c>
      <c r="F178" t="s">
        <v>743</v>
      </c>
      <c r="G178" t="s">
        <v>746</v>
      </c>
      <c r="H178" s="62">
        <f>SUMIF(Assistencies!B:B, D178, Assistencies!F:F)</f>
        <v>0</v>
      </c>
      <c r="I178" s="62">
        <f>SUMIF(Assistencies!B:B, D178, Assistencies!H:H)</f>
        <v>0</v>
      </c>
      <c r="J178">
        <f>SUMIF(Assistencies!B:B, D178, Assistencies!I:I)</f>
        <v>0</v>
      </c>
      <c r="K178">
        <f>SUMIF(Assistencies!B:B, D178, Assistencies!J:J)</f>
        <v>0</v>
      </c>
    </row>
    <row r="179" spans="1:11">
      <c r="A179" t="s">
        <v>148</v>
      </c>
      <c r="B179" t="s">
        <v>172</v>
      </c>
      <c r="C179" t="s">
        <v>276</v>
      </c>
      <c r="D179" s="47" t="s">
        <v>1294</v>
      </c>
      <c r="E179" t="s">
        <v>749</v>
      </c>
      <c r="F179" t="s">
        <v>747</v>
      </c>
      <c r="G179" t="s">
        <v>750</v>
      </c>
      <c r="H179" s="62">
        <f>SUMIF(Assistencies!B:B, D179, Assistencies!F:F)</f>
        <v>0</v>
      </c>
      <c r="I179" s="62">
        <f>SUMIF(Assistencies!B:B, D179, Assistencies!H:H)</f>
        <v>0</v>
      </c>
      <c r="J179">
        <f>SUMIF(Assistencies!B:B, D179, Assistencies!I:I)</f>
        <v>0</v>
      </c>
      <c r="K179">
        <f>SUMIF(Assistencies!B:B, D179, Assistencies!J:J)</f>
        <v>0</v>
      </c>
    </row>
    <row r="180" spans="1:11">
      <c r="A180" t="s">
        <v>148</v>
      </c>
      <c r="B180" t="s">
        <v>172</v>
      </c>
      <c r="C180" t="s">
        <v>276</v>
      </c>
      <c r="D180" s="47" t="s">
        <v>1295</v>
      </c>
      <c r="E180" t="s">
        <v>753</v>
      </c>
      <c r="F180" t="s">
        <v>751</v>
      </c>
      <c r="G180" t="s">
        <v>754</v>
      </c>
      <c r="H180" s="62">
        <f>SUMIF(Assistencies!B:B, D180, Assistencies!F:F)</f>
        <v>0</v>
      </c>
      <c r="I180" s="62">
        <f>SUMIF(Assistencies!B:B, D180, Assistencies!H:H)</f>
        <v>0</v>
      </c>
      <c r="J180">
        <f>SUMIF(Assistencies!B:B, D180, Assistencies!I:I)</f>
        <v>0</v>
      </c>
      <c r="K180">
        <f>SUMIF(Assistencies!B:B, D180, Assistencies!J:J)</f>
        <v>0</v>
      </c>
    </row>
    <row r="181" spans="1:11">
      <c r="A181" t="s">
        <v>148</v>
      </c>
      <c r="B181" t="s">
        <v>172</v>
      </c>
      <c r="C181" t="s">
        <v>276</v>
      </c>
      <c r="D181" s="47" t="s">
        <v>1296</v>
      </c>
      <c r="E181" t="s">
        <v>756</v>
      </c>
      <c r="F181" t="s">
        <v>755</v>
      </c>
      <c r="G181" t="s">
        <v>757</v>
      </c>
      <c r="H181" s="62">
        <f>SUMIF(Assistencies!B:B, D181, Assistencies!F:F)</f>
        <v>0</v>
      </c>
      <c r="I181" s="62">
        <f>SUMIF(Assistencies!B:B, D181, Assistencies!H:H)</f>
        <v>0</v>
      </c>
      <c r="J181">
        <f>SUMIF(Assistencies!B:B, D181, Assistencies!I:I)</f>
        <v>0</v>
      </c>
      <c r="K181">
        <f>SUMIF(Assistencies!B:B, D181, Assistencies!J:J)</f>
        <v>0</v>
      </c>
    </row>
    <row r="182" spans="1:11">
      <c r="A182" t="s">
        <v>148</v>
      </c>
      <c r="B182" t="s">
        <v>172</v>
      </c>
      <c r="C182" t="s">
        <v>276</v>
      </c>
      <c r="D182" s="47" t="s">
        <v>1297</v>
      </c>
      <c r="E182" t="s">
        <v>759</v>
      </c>
      <c r="F182" t="s">
        <v>758</v>
      </c>
      <c r="G182" t="s">
        <v>760</v>
      </c>
      <c r="H182" s="62">
        <f>SUMIF(Assistencies!B:B, D182, Assistencies!F:F)</f>
        <v>0</v>
      </c>
      <c r="I182" s="62">
        <f>SUMIF(Assistencies!B:B, D182, Assistencies!H:H)</f>
        <v>0</v>
      </c>
      <c r="J182">
        <f>SUMIF(Assistencies!B:B, D182, Assistencies!I:I)</f>
        <v>0</v>
      </c>
      <c r="K182">
        <f>SUMIF(Assistencies!B:B, D182, Assistencies!J:J)</f>
        <v>0</v>
      </c>
    </row>
    <row r="183" spans="1:11">
      <c r="A183" t="s">
        <v>148</v>
      </c>
      <c r="B183" t="s">
        <v>172</v>
      </c>
      <c r="C183" t="s">
        <v>276</v>
      </c>
      <c r="D183" s="47" t="s">
        <v>1298</v>
      </c>
      <c r="E183" t="s">
        <v>762</v>
      </c>
      <c r="F183" t="s">
        <v>761</v>
      </c>
      <c r="G183" t="s">
        <v>763</v>
      </c>
      <c r="H183" s="62">
        <f>SUMIF(Assistencies!B:B, D183, Assistencies!F:F)</f>
        <v>0</v>
      </c>
      <c r="I183" s="62">
        <f>SUMIF(Assistencies!B:B, D183, Assistencies!H:H)</f>
        <v>0</v>
      </c>
      <c r="J183">
        <f>SUMIF(Assistencies!B:B, D183, Assistencies!I:I)</f>
        <v>0</v>
      </c>
      <c r="K183">
        <f>SUMIF(Assistencies!B:B, D183, Assistencies!J:J)</f>
        <v>0</v>
      </c>
    </row>
    <row r="184" spans="1:11">
      <c r="A184" t="s">
        <v>148</v>
      </c>
      <c r="B184" t="s">
        <v>172</v>
      </c>
      <c r="C184" t="s">
        <v>276</v>
      </c>
      <c r="D184" s="47" t="s">
        <v>1299</v>
      </c>
      <c r="E184" t="s">
        <v>764</v>
      </c>
      <c r="F184" t="s">
        <v>211</v>
      </c>
      <c r="G184" t="s">
        <v>765</v>
      </c>
      <c r="H184" s="62">
        <f>SUMIF(Assistencies!B:B, D184, Assistencies!F:F)</f>
        <v>0</v>
      </c>
      <c r="I184" s="62">
        <f>SUMIF(Assistencies!B:B, D184, Assistencies!H:H)</f>
        <v>0</v>
      </c>
      <c r="J184">
        <f>SUMIF(Assistencies!B:B, D184, Assistencies!I:I)</f>
        <v>0</v>
      </c>
      <c r="K184">
        <f>SUMIF(Assistencies!B:B, D184, Assistencies!J:J)</f>
        <v>0</v>
      </c>
    </row>
    <row r="185" spans="1:11">
      <c r="A185" t="s">
        <v>148</v>
      </c>
      <c r="B185" t="s">
        <v>172</v>
      </c>
      <c r="C185" t="s">
        <v>276</v>
      </c>
      <c r="D185" s="47" t="s">
        <v>1300</v>
      </c>
      <c r="E185" t="s">
        <v>768</v>
      </c>
      <c r="F185" t="s">
        <v>766</v>
      </c>
      <c r="G185" t="s">
        <v>769</v>
      </c>
      <c r="H185" s="62">
        <f>SUMIF(Assistencies!B:B, D185, Assistencies!F:F)</f>
        <v>0</v>
      </c>
      <c r="I185" s="62">
        <f>SUMIF(Assistencies!B:B, D185, Assistencies!H:H)</f>
        <v>0</v>
      </c>
      <c r="J185">
        <f>SUMIF(Assistencies!B:B, D185, Assistencies!I:I)</f>
        <v>0</v>
      </c>
      <c r="K185">
        <f>SUMIF(Assistencies!B:B, D185, Assistencies!J:J)</f>
        <v>0</v>
      </c>
    </row>
    <row r="186" spans="1:11">
      <c r="A186" t="s">
        <v>148</v>
      </c>
      <c r="B186" t="s">
        <v>175</v>
      </c>
      <c r="C186" t="s">
        <v>107</v>
      </c>
      <c r="D186" s="47" t="s">
        <v>1301</v>
      </c>
      <c r="E186" t="s">
        <v>174</v>
      </c>
      <c r="F186" t="s">
        <v>173</v>
      </c>
      <c r="G186" t="s">
        <v>792</v>
      </c>
      <c r="H186" s="62">
        <f>SUMIF(Assistencies!B:B, D186, Assistencies!F:F)</f>
        <v>0</v>
      </c>
      <c r="I186" s="62">
        <f>SUMIF(Assistencies!B:B, D186, Assistencies!H:H)</f>
        <v>0</v>
      </c>
      <c r="J186">
        <f>SUMIF(Assistencies!B:B, D186, Assistencies!I:I)</f>
        <v>0</v>
      </c>
      <c r="K186">
        <f>SUMIF(Assistencies!B:B, D186, Assistencies!J:J)</f>
        <v>0</v>
      </c>
    </row>
    <row r="187" spans="1:11">
      <c r="A187" t="s">
        <v>148</v>
      </c>
      <c r="B187" t="s">
        <v>175</v>
      </c>
      <c r="C187" t="s">
        <v>276</v>
      </c>
      <c r="D187" s="47" t="s">
        <v>1302</v>
      </c>
      <c r="E187" t="s">
        <v>772</v>
      </c>
      <c r="F187" t="s">
        <v>770</v>
      </c>
      <c r="G187" t="s">
        <v>773</v>
      </c>
      <c r="H187" s="62">
        <f>SUMIF(Assistencies!B:B, D187, Assistencies!F:F)</f>
        <v>0</v>
      </c>
      <c r="I187" s="62">
        <f>SUMIF(Assistencies!B:B, D187, Assistencies!H:H)</f>
        <v>0</v>
      </c>
      <c r="J187">
        <f>SUMIF(Assistencies!B:B, D187, Assistencies!I:I)</f>
        <v>0</v>
      </c>
      <c r="K187">
        <f>SUMIF(Assistencies!B:B, D187, Assistencies!J:J)</f>
        <v>0</v>
      </c>
    </row>
    <row r="188" spans="1:11">
      <c r="A188" t="s">
        <v>148</v>
      </c>
      <c r="B188" t="s">
        <v>175</v>
      </c>
      <c r="C188" t="s">
        <v>276</v>
      </c>
      <c r="D188" s="47" t="s">
        <v>1303</v>
      </c>
      <c r="E188" t="s">
        <v>775</v>
      </c>
      <c r="F188" t="s">
        <v>774</v>
      </c>
      <c r="G188" t="s">
        <v>776</v>
      </c>
      <c r="H188" s="62">
        <f>SUMIF(Assistencies!B:B, D188, Assistencies!F:F)</f>
        <v>0</v>
      </c>
      <c r="I188" s="62">
        <f>SUMIF(Assistencies!B:B, D188, Assistencies!H:H)</f>
        <v>0</v>
      </c>
      <c r="J188">
        <f>SUMIF(Assistencies!B:B, D188, Assistencies!I:I)</f>
        <v>0</v>
      </c>
      <c r="K188">
        <f>SUMIF(Assistencies!B:B, D188, Assistencies!J:J)</f>
        <v>0</v>
      </c>
    </row>
    <row r="189" spans="1:11">
      <c r="A189" t="s">
        <v>148</v>
      </c>
      <c r="B189" t="s">
        <v>175</v>
      </c>
      <c r="C189" t="s">
        <v>276</v>
      </c>
      <c r="D189" s="47" t="s">
        <v>1304</v>
      </c>
      <c r="E189" t="s">
        <v>778</v>
      </c>
      <c r="F189" t="s">
        <v>777</v>
      </c>
      <c r="G189" t="s">
        <v>779</v>
      </c>
      <c r="H189" s="62">
        <f>SUMIF(Assistencies!B:B, D189, Assistencies!F:F)</f>
        <v>0</v>
      </c>
      <c r="I189" s="62">
        <f>SUMIF(Assistencies!B:B, D189, Assistencies!H:H)</f>
        <v>0</v>
      </c>
      <c r="J189">
        <f>SUMIF(Assistencies!B:B, D189, Assistencies!I:I)</f>
        <v>0</v>
      </c>
      <c r="K189">
        <f>SUMIF(Assistencies!B:B, D189, Assistencies!J:J)</f>
        <v>0</v>
      </c>
    </row>
    <row r="190" spans="1:11">
      <c r="A190" t="s">
        <v>148</v>
      </c>
      <c r="B190" t="s">
        <v>175</v>
      </c>
      <c r="C190" t="s">
        <v>276</v>
      </c>
      <c r="D190" s="47" t="s">
        <v>1305</v>
      </c>
      <c r="E190" t="s">
        <v>781</v>
      </c>
      <c r="F190" t="s">
        <v>780</v>
      </c>
      <c r="G190" t="s">
        <v>780</v>
      </c>
      <c r="H190" s="62">
        <f>SUMIF(Assistencies!B:B, D190, Assistencies!F:F)</f>
        <v>0</v>
      </c>
      <c r="I190" s="62">
        <f>SUMIF(Assistencies!B:B, D190, Assistencies!H:H)</f>
        <v>0</v>
      </c>
      <c r="J190">
        <f>SUMIF(Assistencies!B:B, D190, Assistencies!I:I)</f>
        <v>0</v>
      </c>
      <c r="K190">
        <f>SUMIF(Assistencies!B:B, D190, Assistencies!J:J)</f>
        <v>0</v>
      </c>
    </row>
    <row r="191" spans="1:11">
      <c r="A191" t="s">
        <v>148</v>
      </c>
      <c r="B191" t="s">
        <v>175</v>
      </c>
      <c r="C191" t="s">
        <v>276</v>
      </c>
      <c r="D191" s="47" t="s">
        <v>1306</v>
      </c>
      <c r="E191" t="s">
        <v>784</v>
      </c>
      <c r="F191" t="s">
        <v>782</v>
      </c>
      <c r="G191" t="s">
        <v>785</v>
      </c>
      <c r="H191" s="62">
        <f>SUMIF(Assistencies!B:B, D191, Assistencies!F:F)</f>
        <v>0</v>
      </c>
      <c r="I191" s="62">
        <f>SUMIF(Assistencies!B:B, D191, Assistencies!H:H)</f>
        <v>0</v>
      </c>
      <c r="J191">
        <f>SUMIF(Assistencies!B:B, D191, Assistencies!I:I)</f>
        <v>0</v>
      </c>
      <c r="K191">
        <f>SUMIF(Assistencies!B:B, D191, Assistencies!J:J)</f>
        <v>0</v>
      </c>
    </row>
    <row r="192" spans="1:11">
      <c r="A192" t="s">
        <v>148</v>
      </c>
      <c r="B192" t="s">
        <v>175</v>
      </c>
      <c r="C192" t="s">
        <v>276</v>
      </c>
      <c r="D192" s="47" t="s">
        <v>1307</v>
      </c>
      <c r="E192" t="s">
        <v>787</v>
      </c>
      <c r="F192" t="s">
        <v>786</v>
      </c>
      <c r="G192" t="s">
        <v>788</v>
      </c>
      <c r="H192" s="62">
        <f>SUMIF(Assistencies!B:B, D192, Assistencies!F:F)</f>
        <v>0</v>
      </c>
      <c r="I192" s="62">
        <f>SUMIF(Assistencies!B:B, D192, Assistencies!H:H)</f>
        <v>0</v>
      </c>
      <c r="J192">
        <f>SUMIF(Assistencies!B:B, D192, Assistencies!I:I)</f>
        <v>0</v>
      </c>
      <c r="K192">
        <f>SUMIF(Assistencies!B:B, D192, Assistencies!J:J)</f>
        <v>0</v>
      </c>
    </row>
    <row r="193" spans="1:11">
      <c r="A193" t="s">
        <v>148</v>
      </c>
      <c r="B193" t="s">
        <v>175</v>
      </c>
      <c r="C193" t="s">
        <v>276</v>
      </c>
      <c r="D193" s="47" t="s">
        <v>1308</v>
      </c>
      <c r="E193" t="s">
        <v>790</v>
      </c>
      <c r="F193" t="s">
        <v>789</v>
      </c>
      <c r="G193" t="s">
        <v>789</v>
      </c>
      <c r="H193" s="62">
        <f>SUMIF(Assistencies!B:B, D193, Assistencies!F:F)</f>
        <v>0</v>
      </c>
      <c r="I193" s="62">
        <f>SUMIF(Assistencies!B:B, D193, Assistencies!H:H)</f>
        <v>0</v>
      </c>
      <c r="J193">
        <f>SUMIF(Assistencies!B:B, D193, Assistencies!I:I)</f>
        <v>0</v>
      </c>
      <c r="K193">
        <f>SUMIF(Assistencies!B:B, D193, Assistencies!J:J)</f>
        <v>0</v>
      </c>
    </row>
    <row r="194" spans="1:11">
      <c r="A194" t="s">
        <v>148</v>
      </c>
      <c r="B194" t="s">
        <v>175</v>
      </c>
      <c r="C194" t="s">
        <v>276</v>
      </c>
      <c r="D194" s="47" t="s">
        <v>1309</v>
      </c>
      <c r="E194" t="s">
        <v>791</v>
      </c>
      <c r="F194" t="s">
        <v>173</v>
      </c>
      <c r="G194" t="s">
        <v>792</v>
      </c>
      <c r="H194" s="62">
        <f>SUMIF(Assistencies!B:B, D194, Assistencies!F:F)</f>
        <v>0</v>
      </c>
      <c r="I194" s="62">
        <f>SUMIF(Assistencies!B:B, D194, Assistencies!H:H)</f>
        <v>0</v>
      </c>
      <c r="J194">
        <f>SUMIF(Assistencies!B:B, D194, Assistencies!I:I)</f>
        <v>0</v>
      </c>
      <c r="K194">
        <f>SUMIF(Assistencies!B:B, D194, Assistencies!J:J)</f>
        <v>0</v>
      </c>
    </row>
    <row r="195" spans="1:11">
      <c r="A195" t="s">
        <v>148</v>
      </c>
      <c r="B195" t="s">
        <v>175</v>
      </c>
      <c r="C195" t="s">
        <v>276</v>
      </c>
      <c r="D195" s="47" t="s">
        <v>1310</v>
      </c>
      <c r="E195" t="s">
        <v>794</v>
      </c>
      <c r="F195" t="s">
        <v>793</v>
      </c>
      <c r="G195" t="s">
        <v>795</v>
      </c>
      <c r="H195" s="62">
        <f>SUMIF(Assistencies!B:B, D195, Assistencies!F:F)</f>
        <v>0</v>
      </c>
      <c r="I195" s="62">
        <f>SUMIF(Assistencies!B:B, D195, Assistencies!H:H)</f>
        <v>0</v>
      </c>
      <c r="J195">
        <f>SUMIF(Assistencies!B:B, D195, Assistencies!I:I)</f>
        <v>0</v>
      </c>
      <c r="K195">
        <f>SUMIF(Assistencies!B:B, D195, Assistencies!J:J)</f>
        <v>0</v>
      </c>
    </row>
    <row r="196" spans="1:11">
      <c r="A196" t="s">
        <v>148</v>
      </c>
      <c r="B196" t="s">
        <v>175</v>
      </c>
      <c r="C196" t="s">
        <v>276</v>
      </c>
      <c r="D196" s="47" t="s">
        <v>1311</v>
      </c>
      <c r="E196" t="s">
        <v>797</v>
      </c>
      <c r="F196" t="s">
        <v>796</v>
      </c>
      <c r="G196" t="s">
        <v>798</v>
      </c>
      <c r="H196" s="62">
        <f>SUMIF(Assistencies!B:B, D196, Assistencies!F:F)</f>
        <v>0</v>
      </c>
      <c r="I196" s="62">
        <f>SUMIF(Assistencies!B:B, D196, Assistencies!H:H)</f>
        <v>0</v>
      </c>
      <c r="J196">
        <f>SUMIF(Assistencies!B:B, D196, Assistencies!I:I)</f>
        <v>0</v>
      </c>
      <c r="K196">
        <f>SUMIF(Assistencies!B:B, D196, Assistencies!J:J)</f>
        <v>0</v>
      </c>
    </row>
    <row r="197" spans="1:11">
      <c r="A197" t="s">
        <v>148</v>
      </c>
      <c r="B197" t="s">
        <v>175</v>
      </c>
      <c r="C197" t="s">
        <v>276</v>
      </c>
      <c r="D197" s="47" t="s">
        <v>1312</v>
      </c>
      <c r="E197" t="s">
        <v>801</v>
      </c>
      <c r="F197" t="s">
        <v>799</v>
      </c>
      <c r="G197" t="s">
        <v>802</v>
      </c>
      <c r="H197" s="62">
        <f>SUMIF(Assistencies!B:B, D197, Assistencies!F:F)</f>
        <v>0</v>
      </c>
      <c r="I197" s="62">
        <f>SUMIF(Assistencies!B:B, D197, Assistencies!H:H)</f>
        <v>0</v>
      </c>
      <c r="J197">
        <f>SUMIF(Assistencies!B:B, D197, Assistencies!I:I)</f>
        <v>0</v>
      </c>
      <c r="K197">
        <f>SUMIF(Assistencies!B:B, D197, Assistencies!J:J)</f>
        <v>0</v>
      </c>
    </row>
    <row r="198" spans="1:11">
      <c r="A198" t="s">
        <v>148</v>
      </c>
      <c r="B198" t="s">
        <v>175</v>
      </c>
      <c r="C198" t="s">
        <v>276</v>
      </c>
      <c r="D198" s="47" t="s">
        <v>1313</v>
      </c>
      <c r="E198" t="s">
        <v>805</v>
      </c>
      <c r="F198" t="s">
        <v>803</v>
      </c>
      <c r="G198" t="s">
        <v>806</v>
      </c>
      <c r="H198" s="62">
        <f>SUMIF(Assistencies!B:B, D198, Assistencies!F:F)</f>
        <v>0</v>
      </c>
      <c r="I198" s="62">
        <f>SUMIF(Assistencies!B:B, D198, Assistencies!H:H)</f>
        <v>0</v>
      </c>
      <c r="J198">
        <f>SUMIF(Assistencies!B:B, D198, Assistencies!I:I)</f>
        <v>0</v>
      </c>
      <c r="K198">
        <f>SUMIF(Assistencies!B:B, D198, Assistencies!J:J)</f>
        <v>0</v>
      </c>
    </row>
    <row r="199" spans="1:11">
      <c r="A199" t="s">
        <v>148</v>
      </c>
      <c r="B199" t="s">
        <v>178</v>
      </c>
      <c r="C199" t="s">
        <v>107</v>
      </c>
      <c r="D199" s="47" t="s">
        <v>1314</v>
      </c>
      <c r="E199" t="s">
        <v>177</v>
      </c>
      <c r="F199" t="s">
        <v>176</v>
      </c>
      <c r="G199" t="s">
        <v>176</v>
      </c>
      <c r="H199" s="62">
        <f>SUMIF(Assistencies!B:B, D199, Assistencies!F:F)</f>
        <v>0</v>
      </c>
      <c r="I199" s="62">
        <f>SUMIF(Assistencies!B:B, D199, Assistencies!H:H)</f>
        <v>0</v>
      </c>
      <c r="J199">
        <f>SUMIF(Assistencies!B:B, D199, Assistencies!I:I)</f>
        <v>0</v>
      </c>
      <c r="K199">
        <f>SUMIF(Assistencies!B:B, D199, Assistencies!J:J)</f>
        <v>0</v>
      </c>
    </row>
    <row r="200" spans="1:11">
      <c r="A200" t="s">
        <v>148</v>
      </c>
      <c r="B200" t="s">
        <v>181</v>
      </c>
      <c r="C200" t="s">
        <v>107</v>
      </c>
      <c r="D200" s="47" t="s">
        <v>1315</v>
      </c>
      <c r="E200" t="s">
        <v>224</v>
      </c>
      <c r="F200" t="s">
        <v>223</v>
      </c>
      <c r="G200" t="s">
        <v>807</v>
      </c>
      <c r="H200" s="62">
        <f>SUMIF(Assistencies!B:B, D200, Assistencies!F:F)</f>
        <v>0</v>
      </c>
      <c r="I200" s="62">
        <f>SUMIF(Assistencies!B:B, D200, Assistencies!H:H)</f>
        <v>0</v>
      </c>
      <c r="J200">
        <f>SUMIF(Assistencies!B:B, D200, Assistencies!I:I)</f>
        <v>0</v>
      </c>
      <c r="K200">
        <f>SUMIF(Assistencies!B:B, D200, Assistencies!J:J)</f>
        <v>0</v>
      </c>
    </row>
    <row r="201" spans="1:11">
      <c r="A201" t="s">
        <v>148</v>
      </c>
      <c r="B201" t="s">
        <v>181</v>
      </c>
      <c r="C201" t="s">
        <v>107</v>
      </c>
      <c r="D201" s="47" t="s">
        <v>1316</v>
      </c>
      <c r="E201" t="s">
        <v>180</v>
      </c>
      <c r="F201" t="s">
        <v>179</v>
      </c>
      <c r="G201" t="s">
        <v>808</v>
      </c>
      <c r="H201" s="62">
        <f>SUMIF(Assistencies!B:B, D201, Assistencies!F:F)</f>
        <v>0</v>
      </c>
      <c r="I201" s="62">
        <f>SUMIF(Assistencies!B:B, D201, Assistencies!H:H)</f>
        <v>0</v>
      </c>
      <c r="J201">
        <f>SUMIF(Assistencies!B:B, D201, Assistencies!I:I)</f>
        <v>0</v>
      </c>
      <c r="K201">
        <f>SUMIF(Assistencies!B:B, D201, Assistencies!J:J)</f>
        <v>0</v>
      </c>
    </row>
    <row r="202" spans="1:11">
      <c r="A202" t="s">
        <v>148</v>
      </c>
      <c r="B202" t="s">
        <v>181</v>
      </c>
      <c r="C202" t="s">
        <v>276</v>
      </c>
      <c r="D202" s="47" t="s">
        <v>1317</v>
      </c>
      <c r="E202" t="s">
        <v>811</v>
      </c>
      <c r="F202" t="s">
        <v>809</v>
      </c>
      <c r="G202" t="s">
        <v>812</v>
      </c>
      <c r="H202" s="62">
        <f>SUMIF(Assistencies!B:B, D202, Assistencies!F:F)</f>
        <v>0</v>
      </c>
      <c r="I202" s="62">
        <f>SUMIF(Assistencies!B:B, D202, Assistencies!H:H)</f>
        <v>0</v>
      </c>
      <c r="J202">
        <f>SUMIF(Assistencies!B:B, D202, Assistencies!I:I)</f>
        <v>0</v>
      </c>
      <c r="K202">
        <f>SUMIF(Assistencies!B:B, D202, Assistencies!J:J)</f>
        <v>0</v>
      </c>
    </row>
    <row r="203" spans="1:11">
      <c r="A203" t="s">
        <v>148</v>
      </c>
      <c r="B203" t="s">
        <v>181</v>
      </c>
      <c r="C203" t="s">
        <v>276</v>
      </c>
      <c r="D203" s="47" t="s">
        <v>1318</v>
      </c>
      <c r="E203" t="s">
        <v>814</v>
      </c>
      <c r="F203" t="s">
        <v>813</v>
      </c>
      <c r="G203" t="s">
        <v>815</v>
      </c>
      <c r="H203" s="62">
        <f>SUMIF(Assistencies!B:B, D203, Assistencies!F:F)</f>
        <v>0</v>
      </c>
      <c r="I203" s="62">
        <f>SUMIF(Assistencies!B:B, D203, Assistencies!H:H)</f>
        <v>0</v>
      </c>
      <c r="J203">
        <f>SUMIF(Assistencies!B:B, D203, Assistencies!I:I)</f>
        <v>0</v>
      </c>
      <c r="K203">
        <f>SUMIF(Assistencies!B:B, D203, Assistencies!J:J)</f>
        <v>0</v>
      </c>
    </row>
    <row r="204" spans="1:11">
      <c r="A204" t="s">
        <v>148</v>
      </c>
      <c r="B204" t="s">
        <v>181</v>
      </c>
      <c r="C204" t="s">
        <v>276</v>
      </c>
      <c r="D204" s="47" t="s">
        <v>1319</v>
      </c>
      <c r="E204" t="s">
        <v>817</v>
      </c>
      <c r="F204" t="s">
        <v>816</v>
      </c>
      <c r="G204" t="s">
        <v>818</v>
      </c>
      <c r="H204" s="62">
        <f>SUMIF(Assistencies!B:B, D204, Assistencies!F:F)</f>
        <v>0</v>
      </c>
      <c r="I204" s="62">
        <f>SUMIF(Assistencies!B:B, D204, Assistencies!H:H)</f>
        <v>0</v>
      </c>
      <c r="J204">
        <f>SUMIF(Assistencies!B:B, D204, Assistencies!I:I)</f>
        <v>0</v>
      </c>
      <c r="K204">
        <f>SUMIF(Assistencies!B:B, D204, Assistencies!J:J)</f>
        <v>0</v>
      </c>
    </row>
    <row r="205" spans="1:11">
      <c r="A205" t="s">
        <v>148</v>
      </c>
      <c r="B205" t="s">
        <v>181</v>
      </c>
      <c r="C205" t="s">
        <v>276</v>
      </c>
      <c r="D205" s="47" t="s">
        <v>1320</v>
      </c>
      <c r="E205" t="s">
        <v>820</v>
      </c>
      <c r="F205" t="s">
        <v>819</v>
      </c>
      <c r="G205" t="s">
        <v>821</v>
      </c>
      <c r="H205" s="62">
        <f>SUMIF(Assistencies!B:B, D205, Assistencies!F:F)</f>
        <v>0</v>
      </c>
      <c r="I205" s="62">
        <f>SUMIF(Assistencies!B:B, D205, Assistencies!H:H)</f>
        <v>0</v>
      </c>
      <c r="J205">
        <f>SUMIF(Assistencies!B:B, D205, Assistencies!I:I)</f>
        <v>0</v>
      </c>
      <c r="K205">
        <f>SUMIF(Assistencies!B:B, D205, Assistencies!J:J)</f>
        <v>0</v>
      </c>
    </row>
    <row r="206" spans="1:11">
      <c r="A206" t="s">
        <v>148</v>
      </c>
      <c r="B206" t="s">
        <v>181</v>
      </c>
      <c r="C206" t="s">
        <v>276</v>
      </c>
      <c r="D206" s="47" t="s">
        <v>1321</v>
      </c>
      <c r="E206" t="s">
        <v>823</v>
      </c>
      <c r="F206" t="s">
        <v>822</v>
      </c>
      <c r="G206" t="s">
        <v>824</v>
      </c>
      <c r="H206" s="62">
        <f>SUMIF(Assistencies!B:B, D206, Assistencies!F:F)</f>
        <v>0</v>
      </c>
      <c r="I206" s="62">
        <f>SUMIF(Assistencies!B:B, D206, Assistencies!H:H)</f>
        <v>0</v>
      </c>
      <c r="J206">
        <f>SUMIF(Assistencies!B:B, D206, Assistencies!I:I)</f>
        <v>0</v>
      </c>
      <c r="K206">
        <f>SUMIF(Assistencies!B:B, D206, Assistencies!J:J)</f>
        <v>0</v>
      </c>
    </row>
    <row r="207" spans="1:11">
      <c r="A207" t="s">
        <v>148</v>
      </c>
      <c r="B207" t="s">
        <v>181</v>
      </c>
      <c r="C207" t="s">
        <v>276</v>
      </c>
      <c r="D207" s="47" t="s">
        <v>1322</v>
      </c>
      <c r="E207" t="s">
        <v>826</v>
      </c>
      <c r="F207" t="s">
        <v>825</v>
      </c>
      <c r="G207" t="s">
        <v>827</v>
      </c>
      <c r="H207" s="62">
        <f>SUMIF(Assistencies!B:B, D207, Assistencies!F:F)</f>
        <v>0</v>
      </c>
      <c r="I207" s="62">
        <f>SUMIF(Assistencies!B:B, D207, Assistencies!H:H)</f>
        <v>0</v>
      </c>
      <c r="J207">
        <f>SUMIF(Assistencies!B:B, D207, Assistencies!I:I)</f>
        <v>0</v>
      </c>
      <c r="K207">
        <f>SUMIF(Assistencies!B:B, D207, Assistencies!J:J)</f>
        <v>0</v>
      </c>
    </row>
    <row r="208" spans="1:11">
      <c r="A208" t="s">
        <v>148</v>
      </c>
      <c r="B208" t="s">
        <v>181</v>
      </c>
      <c r="C208" t="s">
        <v>276</v>
      </c>
      <c r="D208" s="47" t="s">
        <v>1323</v>
      </c>
      <c r="E208" t="s">
        <v>830</v>
      </c>
      <c r="F208" t="s">
        <v>828</v>
      </c>
      <c r="G208" t="s">
        <v>831</v>
      </c>
      <c r="H208" s="62">
        <f>SUMIF(Assistencies!B:B, D208, Assistencies!F:F)</f>
        <v>0</v>
      </c>
      <c r="I208" s="62">
        <f>SUMIF(Assistencies!B:B, D208, Assistencies!H:H)</f>
        <v>0</v>
      </c>
      <c r="J208">
        <f>SUMIF(Assistencies!B:B, D208, Assistencies!I:I)</f>
        <v>0</v>
      </c>
      <c r="K208">
        <f>SUMIF(Assistencies!B:B, D208, Assistencies!J:J)</f>
        <v>0</v>
      </c>
    </row>
    <row r="209" spans="1:11">
      <c r="A209" t="s">
        <v>148</v>
      </c>
      <c r="B209" t="s">
        <v>184</v>
      </c>
      <c r="C209" t="s">
        <v>107</v>
      </c>
      <c r="D209" s="47" t="s">
        <v>1324</v>
      </c>
      <c r="E209" t="s">
        <v>183</v>
      </c>
      <c r="F209" t="s">
        <v>182</v>
      </c>
      <c r="G209" t="s">
        <v>854</v>
      </c>
      <c r="H209" s="62">
        <f>SUMIF(Assistencies!B:B, D209, Assistencies!F:F)</f>
        <v>0</v>
      </c>
      <c r="I209" s="62">
        <f>SUMIF(Assistencies!B:B, D209, Assistencies!H:H)</f>
        <v>0</v>
      </c>
      <c r="J209">
        <f>SUMIF(Assistencies!B:B, D209, Assistencies!I:I)</f>
        <v>0</v>
      </c>
      <c r="K209">
        <f>SUMIF(Assistencies!B:B, D209, Assistencies!J:J)</f>
        <v>0</v>
      </c>
    </row>
    <row r="210" spans="1:11">
      <c r="A210" t="s">
        <v>148</v>
      </c>
      <c r="B210" t="s">
        <v>184</v>
      </c>
      <c r="C210" t="s">
        <v>276</v>
      </c>
      <c r="D210" s="47" t="s">
        <v>1325</v>
      </c>
      <c r="E210" t="s">
        <v>833</v>
      </c>
      <c r="F210" t="s">
        <v>832</v>
      </c>
      <c r="G210" t="s">
        <v>834</v>
      </c>
      <c r="H210" s="62">
        <f>SUMIF(Assistencies!B:B, D210, Assistencies!F:F)</f>
        <v>0</v>
      </c>
      <c r="I210" s="62">
        <f>SUMIF(Assistencies!B:B, D210, Assistencies!H:H)</f>
        <v>0</v>
      </c>
      <c r="J210">
        <f>SUMIF(Assistencies!B:B, D210, Assistencies!I:I)</f>
        <v>0</v>
      </c>
      <c r="K210">
        <f>SUMIF(Assistencies!B:B, D210, Assistencies!J:J)</f>
        <v>0</v>
      </c>
    </row>
    <row r="211" spans="1:11">
      <c r="A211" t="s">
        <v>148</v>
      </c>
      <c r="B211" t="s">
        <v>184</v>
      </c>
      <c r="C211" t="s">
        <v>276</v>
      </c>
      <c r="D211" s="47" t="s">
        <v>1326</v>
      </c>
      <c r="E211" t="s">
        <v>836</v>
      </c>
      <c r="F211" t="s">
        <v>835</v>
      </c>
      <c r="G211" t="s">
        <v>837</v>
      </c>
      <c r="H211" s="62">
        <f>SUMIF(Assistencies!B:B, D211, Assistencies!F:F)</f>
        <v>0</v>
      </c>
      <c r="I211" s="62">
        <f>SUMIF(Assistencies!B:B, D211, Assistencies!H:H)</f>
        <v>0</v>
      </c>
      <c r="J211">
        <f>SUMIF(Assistencies!B:B, D211, Assistencies!I:I)</f>
        <v>0</v>
      </c>
      <c r="K211">
        <f>SUMIF(Assistencies!B:B, D211, Assistencies!J:J)</f>
        <v>0</v>
      </c>
    </row>
    <row r="212" spans="1:11">
      <c r="A212" t="s">
        <v>148</v>
      </c>
      <c r="B212" t="s">
        <v>184</v>
      </c>
      <c r="C212" t="s">
        <v>276</v>
      </c>
      <c r="D212" s="47" t="s">
        <v>1327</v>
      </c>
      <c r="E212" t="s">
        <v>839</v>
      </c>
      <c r="F212" t="s">
        <v>838</v>
      </c>
      <c r="G212" t="s">
        <v>840</v>
      </c>
      <c r="H212" s="62">
        <f>SUMIF(Assistencies!B:B, D212, Assistencies!F:F)</f>
        <v>0</v>
      </c>
      <c r="I212" s="62">
        <f>SUMIF(Assistencies!B:B, D212, Assistencies!H:H)</f>
        <v>0</v>
      </c>
      <c r="J212">
        <f>SUMIF(Assistencies!B:B, D212, Assistencies!I:I)</f>
        <v>0</v>
      </c>
      <c r="K212">
        <f>SUMIF(Assistencies!B:B, D212, Assistencies!J:J)</f>
        <v>0</v>
      </c>
    </row>
    <row r="213" spans="1:11">
      <c r="A213" t="s">
        <v>148</v>
      </c>
      <c r="B213" t="s">
        <v>184</v>
      </c>
      <c r="C213" t="s">
        <v>276</v>
      </c>
      <c r="D213" s="47" t="s">
        <v>1328</v>
      </c>
      <c r="E213" t="s">
        <v>842</v>
      </c>
      <c r="F213" t="s">
        <v>841</v>
      </c>
      <c r="G213" t="s">
        <v>843</v>
      </c>
      <c r="H213" s="62">
        <f>SUMIF(Assistencies!B:B, D213, Assistencies!F:F)</f>
        <v>0</v>
      </c>
      <c r="I213" s="62">
        <f>SUMIF(Assistencies!B:B, D213, Assistencies!H:H)</f>
        <v>0</v>
      </c>
      <c r="J213">
        <f>SUMIF(Assistencies!B:B, D213, Assistencies!I:I)</f>
        <v>0</v>
      </c>
      <c r="K213">
        <f>SUMIF(Assistencies!B:B, D213, Assistencies!J:J)</f>
        <v>0</v>
      </c>
    </row>
    <row r="214" spans="1:11">
      <c r="A214" t="s">
        <v>148</v>
      </c>
      <c r="B214" t="s">
        <v>184</v>
      </c>
      <c r="C214" t="s">
        <v>276</v>
      </c>
      <c r="D214" s="47" t="s">
        <v>1329</v>
      </c>
      <c r="E214" t="s">
        <v>845</v>
      </c>
      <c r="F214" t="s">
        <v>844</v>
      </c>
      <c r="G214" t="s">
        <v>846</v>
      </c>
      <c r="H214" s="62">
        <f>SUMIF(Assistencies!B:B, D214, Assistencies!F:F)</f>
        <v>0</v>
      </c>
      <c r="I214" s="62">
        <f>SUMIF(Assistencies!B:B, D214, Assistencies!H:H)</f>
        <v>0</v>
      </c>
      <c r="J214">
        <f>SUMIF(Assistencies!B:B, D214, Assistencies!I:I)</f>
        <v>0</v>
      </c>
      <c r="K214">
        <f>SUMIF(Assistencies!B:B, D214, Assistencies!J:J)</f>
        <v>0</v>
      </c>
    </row>
    <row r="215" spans="1:11">
      <c r="A215" t="s">
        <v>148</v>
      </c>
      <c r="B215" t="s">
        <v>184</v>
      </c>
      <c r="C215" t="s">
        <v>276</v>
      </c>
      <c r="D215" s="47" t="s">
        <v>1330</v>
      </c>
      <c r="E215" t="s">
        <v>849</v>
      </c>
      <c r="F215" t="s">
        <v>847</v>
      </c>
      <c r="G215" t="s">
        <v>850</v>
      </c>
      <c r="H215" s="62">
        <f>SUMIF(Assistencies!B:B, D215, Assistencies!F:F)</f>
        <v>0</v>
      </c>
      <c r="I215" s="62">
        <f>SUMIF(Assistencies!B:B, D215, Assistencies!H:H)</f>
        <v>0</v>
      </c>
      <c r="J215">
        <f>SUMIF(Assistencies!B:B, D215, Assistencies!I:I)</f>
        <v>0</v>
      </c>
      <c r="K215">
        <f>SUMIF(Assistencies!B:B, D215, Assistencies!J:J)</f>
        <v>0</v>
      </c>
    </row>
    <row r="216" spans="1:11">
      <c r="A216" t="s">
        <v>148</v>
      </c>
      <c r="B216" t="s">
        <v>184</v>
      </c>
      <c r="C216" t="s">
        <v>276</v>
      </c>
      <c r="D216" s="47" t="s">
        <v>1331</v>
      </c>
      <c r="E216" t="s">
        <v>852</v>
      </c>
      <c r="F216" t="s">
        <v>851</v>
      </c>
      <c r="G216" t="s">
        <v>853</v>
      </c>
      <c r="H216" s="62">
        <f>SUMIF(Assistencies!B:B, D216, Assistencies!F:F)</f>
        <v>0</v>
      </c>
      <c r="I216" s="62">
        <f>SUMIF(Assistencies!B:B, D216, Assistencies!H:H)</f>
        <v>0</v>
      </c>
      <c r="J216">
        <f>SUMIF(Assistencies!B:B, D216, Assistencies!I:I)</f>
        <v>0</v>
      </c>
      <c r="K216">
        <f>SUMIF(Assistencies!B:B, D216, Assistencies!J:J)</f>
        <v>0</v>
      </c>
    </row>
    <row r="217" spans="1:11">
      <c r="A217" t="s">
        <v>148</v>
      </c>
      <c r="B217" t="s">
        <v>184</v>
      </c>
      <c r="C217" t="s">
        <v>276</v>
      </c>
      <c r="D217" s="47" t="s">
        <v>1332</v>
      </c>
      <c r="E217" t="s">
        <v>856</v>
      </c>
      <c r="F217" t="s">
        <v>855</v>
      </c>
      <c r="G217" t="s">
        <v>857</v>
      </c>
      <c r="H217" s="62">
        <f>SUMIF(Assistencies!B:B, D217, Assistencies!F:F)</f>
        <v>0</v>
      </c>
      <c r="I217" s="62">
        <f>SUMIF(Assistencies!B:B, D217, Assistencies!H:H)</f>
        <v>0</v>
      </c>
      <c r="J217">
        <f>SUMIF(Assistencies!B:B, D217, Assistencies!I:I)</f>
        <v>0</v>
      </c>
      <c r="K217">
        <f>SUMIF(Assistencies!B:B, D217, Assistencies!J:J)</f>
        <v>0</v>
      </c>
    </row>
    <row r="218" spans="1:11">
      <c r="A218" t="s">
        <v>148</v>
      </c>
      <c r="B218" t="s">
        <v>184</v>
      </c>
      <c r="C218" t="s">
        <v>276</v>
      </c>
      <c r="D218" s="47" t="s">
        <v>1333</v>
      </c>
      <c r="E218" t="s">
        <v>859</v>
      </c>
      <c r="F218" t="s">
        <v>858</v>
      </c>
      <c r="G218" t="s">
        <v>860</v>
      </c>
      <c r="H218" s="62">
        <f>SUMIF(Assistencies!B:B, D218, Assistencies!F:F)</f>
        <v>0</v>
      </c>
      <c r="I218" s="62">
        <f>SUMIF(Assistencies!B:B, D218, Assistencies!H:H)</f>
        <v>0</v>
      </c>
      <c r="J218">
        <f>SUMIF(Assistencies!B:B, D218, Assistencies!I:I)</f>
        <v>0</v>
      </c>
      <c r="K218">
        <f>SUMIF(Assistencies!B:B, D218, Assistencies!J:J)</f>
        <v>0</v>
      </c>
    </row>
    <row r="219" spans="1:11">
      <c r="A219" t="s">
        <v>148</v>
      </c>
      <c r="B219" t="s">
        <v>184</v>
      </c>
      <c r="C219" t="s">
        <v>276</v>
      </c>
      <c r="D219" s="47" t="s">
        <v>1334</v>
      </c>
      <c r="E219" t="s">
        <v>863</v>
      </c>
      <c r="F219" t="s">
        <v>861</v>
      </c>
      <c r="G219" t="s">
        <v>864</v>
      </c>
      <c r="H219" s="62">
        <f>SUMIF(Assistencies!B:B, D219, Assistencies!F:F)</f>
        <v>0</v>
      </c>
      <c r="I219" s="62">
        <f>SUMIF(Assistencies!B:B, D219, Assistencies!H:H)</f>
        <v>0</v>
      </c>
      <c r="J219">
        <f>SUMIF(Assistencies!B:B, D219, Assistencies!I:I)</f>
        <v>0</v>
      </c>
      <c r="K219">
        <f>SUMIF(Assistencies!B:B, D219, Assistencies!J:J)</f>
        <v>0</v>
      </c>
    </row>
    <row r="220" spans="1:11">
      <c r="A220" t="s">
        <v>148</v>
      </c>
      <c r="B220" t="s">
        <v>184</v>
      </c>
      <c r="C220" t="s">
        <v>276</v>
      </c>
      <c r="D220" s="47" t="s">
        <v>1335</v>
      </c>
      <c r="E220" t="s">
        <v>866</v>
      </c>
      <c r="F220" t="s">
        <v>865</v>
      </c>
      <c r="G220" t="s">
        <v>867</v>
      </c>
      <c r="H220" s="62">
        <f>SUMIF(Assistencies!B:B, D220, Assistencies!F:F)</f>
        <v>0</v>
      </c>
      <c r="I220" s="62">
        <f>SUMIF(Assistencies!B:B, D220, Assistencies!H:H)</f>
        <v>0</v>
      </c>
      <c r="J220">
        <f>SUMIF(Assistencies!B:B, D220, Assistencies!I:I)</f>
        <v>0</v>
      </c>
      <c r="K220">
        <f>SUMIF(Assistencies!B:B, D220, Assistencies!J:J)</f>
        <v>0</v>
      </c>
    </row>
    <row r="221" spans="1:11">
      <c r="A221" t="s">
        <v>872</v>
      </c>
      <c r="B221" t="s">
        <v>873</v>
      </c>
      <c r="C221" t="s">
        <v>276</v>
      </c>
      <c r="D221" s="47" t="s">
        <v>1336</v>
      </c>
      <c r="E221" t="s">
        <v>871</v>
      </c>
      <c r="F221" t="s">
        <v>869</v>
      </c>
      <c r="G221" t="s">
        <v>869</v>
      </c>
      <c r="H221" s="62">
        <f>SUMIF(Assistencies!B:B, D221, Assistencies!F:F)</f>
        <v>0</v>
      </c>
      <c r="I221" s="62">
        <f>SUMIF(Assistencies!B:B, D221, Assistencies!H:H)</f>
        <v>0</v>
      </c>
      <c r="J221">
        <f>SUMIF(Assistencies!B:B, D221, Assistencies!I:I)</f>
        <v>0</v>
      </c>
      <c r="K221">
        <f>SUMIF(Assistencies!B:B, D221, Assistencies!J:J)</f>
        <v>0</v>
      </c>
    </row>
    <row r="222" spans="1:11">
      <c r="A222" t="s">
        <v>872</v>
      </c>
      <c r="B222" t="s">
        <v>873</v>
      </c>
      <c r="C222" t="s">
        <v>276</v>
      </c>
      <c r="D222" s="47" t="s">
        <v>1337</v>
      </c>
      <c r="E222" t="s">
        <v>510</v>
      </c>
      <c r="F222" t="s">
        <v>509</v>
      </c>
      <c r="G222" t="s">
        <v>511</v>
      </c>
      <c r="H222" s="62">
        <f>SUMIF(Assistencies!B:B, D222, Assistencies!F:F)</f>
        <v>0</v>
      </c>
      <c r="I222" s="62">
        <f>SUMIF(Assistencies!B:B, D222, Assistencies!H:H)</f>
        <v>0</v>
      </c>
      <c r="J222">
        <f>SUMIF(Assistencies!B:B, D222, Assistencies!I:I)</f>
        <v>0</v>
      </c>
      <c r="K222">
        <f>SUMIF(Assistencies!B:B, D222, Assistencies!J:J)</f>
        <v>0</v>
      </c>
    </row>
    <row r="223" spans="1:11">
      <c r="A223" t="s">
        <v>872</v>
      </c>
      <c r="B223" t="s">
        <v>873</v>
      </c>
      <c r="C223" t="s">
        <v>276</v>
      </c>
      <c r="D223" s="47" t="s">
        <v>1338</v>
      </c>
      <c r="E223" t="s">
        <v>876</v>
      </c>
      <c r="F223" t="s">
        <v>874</v>
      </c>
      <c r="G223" t="s">
        <v>874</v>
      </c>
      <c r="H223" s="62">
        <f>SUMIF(Assistencies!B:B, D223, Assistencies!F:F)</f>
        <v>0</v>
      </c>
      <c r="I223" s="62">
        <f>SUMIF(Assistencies!B:B, D223, Assistencies!H:H)</f>
        <v>0</v>
      </c>
      <c r="J223">
        <f>SUMIF(Assistencies!B:B, D223, Assistencies!I:I)</f>
        <v>0</v>
      </c>
      <c r="K223">
        <f>SUMIF(Assistencies!B:B, D223, Assistencies!J:J)</f>
        <v>0</v>
      </c>
    </row>
    <row r="224" spans="1:11">
      <c r="A224" t="s">
        <v>872</v>
      </c>
      <c r="B224" t="s">
        <v>873</v>
      </c>
      <c r="C224" t="s">
        <v>276</v>
      </c>
      <c r="D224" s="47" t="s">
        <v>1339</v>
      </c>
      <c r="E224" t="s">
        <v>879</v>
      </c>
      <c r="F224" t="s">
        <v>877</v>
      </c>
      <c r="G224" t="s">
        <v>880</v>
      </c>
      <c r="H224" s="62">
        <f>SUMIF(Assistencies!B:B, D224, Assistencies!F:F)</f>
        <v>0</v>
      </c>
      <c r="I224" s="62">
        <f>SUMIF(Assistencies!B:B, D224, Assistencies!H:H)</f>
        <v>0</v>
      </c>
      <c r="J224">
        <f>SUMIF(Assistencies!B:B, D224, Assistencies!I:I)</f>
        <v>0</v>
      </c>
      <c r="K224">
        <f>SUMIF(Assistencies!B:B, D224, Assistencies!J:J)</f>
        <v>0</v>
      </c>
    </row>
    <row r="225" spans="1:11">
      <c r="A225" t="s">
        <v>872</v>
      </c>
      <c r="B225" t="s">
        <v>873</v>
      </c>
      <c r="C225" t="s">
        <v>276</v>
      </c>
      <c r="D225" s="47" t="s">
        <v>1340</v>
      </c>
      <c r="E225" t="s">
        <v>883</v>
      </c>
      <c r="F225" t="s">
        <v>881</v>
      </c>
      <c r="G225" t="s">
        <v>884</v>
      </c>
      <c r="H225" s="62">
        <f>SUMIF(Assistencies!B:B, D225, Assistencies!F:F)</f>
        <v>0</v>
      </c>
      <c r="I225" s="62">
        <f>SUMIF(Assistencies!B:B, D225, Assistencies!H:H)</f>
        <v>0</v>
      </c>
      <c r="J225">
        <f>SUMIF(Assistencies!B:B, D225, Assistencies!I:I)</f>
        <v>0</v>
      </c>
      <c r="K225">
        <f>SUMIF(Assistencies!B:B, D225, Assistencies!J:J)</f>
        <v>0</v>
      </c>
    </row>
    <row r="226" spans="1:11">
      <c r="A226" t="s">
        <v>872</v>
      </c>
      <c r="B226" t="s">
        <v>873</v>
      </c>
      <c r="C226" t="s">
        <v>276</v>
      </c>
      <c r="D226" s="47" t="s">
        <v>1341</v>
      </c>
      <c r="E226" t="s">
        <v>887</v>
      </c>
      <c r="F226" t="s">
        <v>885</v>
      </c>
      <c r="G226" t="s">
        <v>888</v>
      </c>
      <c r="H226" s="62">
        <f>SUMIF(Assistencies!B:B, D226, Assistencies!F:F)</f>
        <v>0</v>
      </c>
      <c r="I226" s="62">
        <f>SUMIF(Assistencies!B:B, D226, Assistencies!H:H)</f>
        <v>0</v>
      </c>
      <c r="J226">
        <f>SUMIF(Assistencies!B:B, D226, Assistencies!I:I)</f>
        <v>0</v>
      </c>
      <c r="K226">
        <f>SUMIF(Assistencies!B:B, D226, Assistencies!J:J)</f>
        <v>0</v>
      </c>
    </row>
    <row r="227" spans="1:11">
      <c r="A227" t="s">
        <v>872</v>
      </c>
      <c r="B227" t="s">
        <v>873</v>
      </c>
      <c r="C227" t="s">
        <v>276</v>
      </c>
      <c r="D227" s="47" t="s">
        <v>1342</v>
      </c>
      <c r="E227" t="s">
        <v>891</v>
      </c>
      <c r="F227" t="s">
        <v>889</v>
      </c>
      <c r="G227" t="s">
        <v>889</v>
      </c>
      <c r="H227" s="62">
        <f>SUMIF(Assistencies!B:B, D227, Assistencies!F:F)</f>
        <v>0</v>
      </c>
      <c r="I227" s="62">
        <f>SUMIF(Assistencies!B:B, D227, Assistencies!H:H)</f>
        <v>0</v>
      </c>
      <c r="J227">
        <f>SUMIF(Assistencies!B:B, D227, Assistencies!I:I)</f>
        <v>0</v>
      </c>
      <c r="K227">
        <f>SUMIF(Assistencies!B:B, D227, Assistencies!J:J)</f>
        <v>0</v>
      </c>
    </row>
    <row r="228" spans="1:11">
      <c r="A228" t="s">
        <v>872</v>
      </c>
      <c r="B228" t="s">
        <v>873</v>
      </c>
      <c r="C228" t="s">
        <v>276</v>
      </c>
      <c r="D228" s="47" t="s">
        <v>1343</v>
      </c>
      <c r="E228" t="s">
        <v>894</v>
      </c>
      <c r="F228" t="s">
        <v>892</v>
      </c>
      <c r="G228" t="s">
        <v>895</v>
      </c>
      <c r="H228" s="62">
        <f>SUMIF(Assistencies!B:B, D228, Assistencies!F:F)</f>
        <v>0</v>
      </c>
      <c r="I228" s="62">
        <f>SUMIF(Assistencies!B:B, D228, Assistencies!H:H)</f>
        <v>0</v>
      </c>
      <c r="J228">
        <f>SUMIF(Assistencies!B:B, D228, Assistencies!I:I)</f>
        <v>0</v>
      </c>
      <c r="K228">
        <f>SUMIF(Assistencies!B:B, D228, Assistencies!J:J)</f>
        <v>0</v>
      </c>
    </row>
    <row r="229" spans="1:11">
      <c r="A229" t="s">
        <v>872</v>
      </c>
      <c r="B229" t="s">
        <v>873</v>
      </c>
      <c r="C229" t="s">
        <v>276</v>
      </c>
      <c r="D229" s="47" t="s">
        <v>1344</v>
      </c>
      <c r="E229" t="s">
        <v>898</v>
      </c>
      <c r="F229" t="s">
        <v>896</v>
      </c>
      <c r="G229" t="s">
        <v>899</v>
      </c>
      <c r="H229" s="62">
        <f>SUMIF(Assistencies!B:B, D229, Assistencies!F:F)</f>
        <v>0</v>
      </c>
      <c r="I229" s="62">
        <f>SUMIF(Assistencies!B:B, D229, Assistencies!H:H)</f>
        <v>0</v>
      </c>
      <c r="J229">
        <f>SUMIF(Assistencies!B:B, D229, Assistencies!I:I)</f>
        <v>0</v>
      </c>
      <c r="K229">
        <f>SUMIF(Assistencies!B:B, D229, Assistencies!J:J)</f>
        <v>0</v>
      </c>
    </row>
    <row r="230" spans="1:11">
      <c r="A230" t="s">
        <v>188</v>
      </c>
      <c r="B230" t="s">
        <v>187</v>
      </c>
      <c r="C230" t="s">
        <v>107</v>
      </c>
      <c r="D230" s="47" t="s">
        <v>1345</v>
      </c>
      <c r="E230" t="s">
        <v>186</v>
      </c>
      <c r="F230" t="s">
        <v>185</v>
      </c>
      <c r="G230" t="s">
        <v>900</v>
      </c>
      <c r="H230" s="62">
        <f>SUMIF(Assistencies!B:B, D230, Assistencies!F:F)</f>
        <v>0</v>
      </c>
      <c r="I230" s="62">
        <f>SUMIF(Assistencies!B:B, D230, Assistencies!H:H)</f>
        <v>0</v>
      </c>
      <c r="J230">
        <f>SUMIF(Assistencies!B:B, D230, Assistencies!I:I)</f>
        <v>0</v>
      </c>
      <c r="K230">
        <f>SUMIF(Assistencies!B:B, D230, Assistencies!J:J)</f>
        <v>0</v>
      </c>
    </row>
    <row r="231" spans="1:11">
      <c r="A231" t="s">
        <v>188</v>
      </c>
      <c r="B231" t="s">
        <v>191</v>
      </c>
      <c r="C231" t="s">
        <v>107</v>
      </c>
      <c r="D231" s="47" t="s">
        <v>1346</v>
      </c>
      <c r="E231" t="s">
        <v>190</v>
      </c>
      <c r="F231" t="s">
        <v>189</v>
      </c>
      <c r="G231" t="s">
        <v>189</v>
      </c>
      <c r="H231" s="62">
        <f>SUMIF(Assistencies!B:B, D231, Assistencies!F:F)</f>
        <v>0</v>
      </c>
      <c r="I231" s="62">
        <f>SUMIF(Assistencies!B:B, D231, Assistencies!H:H)</f>
        <v>0</v>
      </c>
      <c r="J231">
        <f>SUMIF(Assistencies!B:B, D231, Assistencies!I:I)</f>
        <v>0</v>
      </c>
      <c r="K231">
        <f>SUMIF(Assistencies!B:B, D231, Assistencies!J:J)</f>
        <v>0</v>
      </c>
    </row>
    <row r="232" spans="1:11">
      <c r="A232" t="s">
        <v>188</v>
      </c>
      <c r="B232" t="s">
        <v>905</v>
      </c>
      <c r="C232" t="s">
        <v>276</v>
      </c>
      <c r="D232" s="47" t="s">
        <v>1347</v>
      </c>
      <c r="E232" t="s">
        <v>903</v>
      </c>
      <c r="F232" t="s">
        <v>901</v>
      </c>
      <c r="G232" t="s">
        <v>904</v>
      </c>
      <c r="H232" s="62">
        <f>SUMIF(Assistencies!B:B, D232, Assistencies!F:F)</f>
        <v>0</v>
      </c>
      <c r="I232" s="62">
        <f>SUMIF(Assistencies!B:B, D232, Assistencies!H:H)</f>
        <v>0</v>
      </c>
      <c r="J232">
        <f>SUMIF(Assistencies!B:B, D232, Assistencies!I:I)</f>
        <v>0</v>
      </c>
      <c r="K232">
        <f>SUMIF(Assistencies!B:B, D232, Assistencies!J:J)</f>
        <v>0</v>
      </c>
    </row>
    <row r="233" spans="1:11">
      <c r="A233" t="s">
        <v>188</v>
      </c>
      <c r="B233" t="s">
        <v>194</v>
      </c>
      <c r="C233" t="s">
        <v>107</v>
      </c>
      <c r="D233" s="47" t="s">
        <v>1348</v>
      </c>
      <c r="E233" t="s">
        <v>193</v>
      </c>
      <c r="F233" t="s">
        <v>192</v>
      </c>
      <c r="G233" t="s">
        <v>909</v>
      </c>
      <c r="H233" s="62">
        <f>SUMIF(Assistencies!B:B, D233, Assistencies!F:F)</f>
        <v>0</v>
      </c>
      <c r="I233" s="62">
        <f>SUMIF(Assistencies!B:B, D233, Assistencies!H:H)</f>
        <v>0</v>
      </c>
      <c r="J233">
        <f>SUMIF(Assistencies!B:B, D233, Assistencies!I:I)</f>
        <v>0</v>
      </c>
      <c r="K233">
        <f>SUMIF(Assistencies!B:B, D233, Assistencies!J:J)</f>
        <v>0</v>
      </c>
    </row>
    <row r="234" spans="1:11">
      <c r="A234" t="s">
        <v>188</v>
      </c>
      <c r="B234" t="s">
        <v>195</v>
      </c>
      <c r="C234" t="s">
        <v>107</v>
      </c>
      <c r="D234" s="47" t="s">
        <v>1349</v>
      </c>
      <c r="E234" t="s">
        <v>29</v>
      </c>
      <c r="F234" t="s">
        <v>28</v>
      </c>
      <c r="G234" t="s">
        <v>28</v>
      </c>
      <c r="H234" s="62">
        <f>SUMIF(Assistencies!B:B, D234, Assistencies!F:F)</f>
        <v>0</v>
      </c>
      <c r="I234" s="62">
        <f>SUMIF(Assistencies!B:B, D234, Assistencies!H:H)</f>
        <v>0</v>
      </c>
      <c r="J234">
        <f>SUMIF(Assistencies!B:B, D234, Assistencies!I:I)</f>
        <v>0</v>
      </c>
      <c r="K234">
        <f>SUMIF(Assistencies!B:B, D234, Assistencies!J:J)</f>
        <v>0</v>
      </c>
    </row>
    <row r="235" spans="1:11">
      <c r="A235" t="s">
        <v>188</v>
      </c>
      <c r="B235" t="s">
        <v>198</v>
      </c>
      <c r="C235" t="s">
        <v>107</v>
      </c>
      <c r="D235" s="47" t="s">
        <v>1350</v>
      </c>
      <c r="E235" t="s">
        <v>197</v>
      </c>
      <c r="F235" t="s">
        <v>196</v>
      </c>
      <c r="G235" t="s">
        <v>911</v>
      </c>
      <c r="H235" s="62">
        <f>SUMIF(Assistencies!B:B, D235, Assistencies!F:F)</f>
        <v>0</v>
      </c>
      <c r="I235" s="62">
        <f>SUMIF(Assistencies!B:B, D235, Assistencies!H:H)</f>
        <v>0</v>
      </c>
      <c r="J235">
        <f>SUMIF(Assistencies!B:B, D235, Assistencies!I:I)</f>
        <v>0</v>
      </c>
      <c r="K235">
        <f>SUMIF(Assistencies!B:B, D235, Assistencies!J:J)</f>
        <v>0</v>
      </c>
    </row>
    <row r="236" spans="1:11">
      <c r="A236" t="s">
        <v>188</v>
      </c>
      <c r="B236" t="s">
        <v>198</v>
      </c>
      <c r="C236" t="s">
        <v>276</v>
      </c>
      <c r="D236" s="47" t="s">
        <v>1351</v>
      </c>
      <c r="E236" t="s">
        <v>910</v>
      </c>
      <c r="F236" t="s">
        <v>196</v>
      </c>
      <c r="G236" t="s">
        <v>911</v>
      </c>
      <c r="H236" s="62">
        <f>SUMIF(Assistencies!B:B, D236, Assistencies!F:F)</f>
        <v>0</v>
      </c>
      <c r="I236" s="62">
        <f>SUMIF(Assistencies!B:B, D236, Assistencies!H:H)</f>
        <v>0</v>
      </c>
      <c r="J236">
        <f>SUMIF(Assistencies!B:B, D236, Assistencies!I:I)</f>
        <v>0</v>
      </c>
      <c r="K236">
        <f>SUMIF(Assistencies!B:B, D236, Assistencies!J:J)</f>
        <v>0</v>
      </c>
    </row>
    <row r="237" spans="1:11">
      <c r="A237" t="s">
        <v>188</v>
      </c>
      <c r="B237" t="s">
        <v>198</v>
      </c>
      <c r="C237" t="s">
        <v>276</v>
      </c>
      <c r="D237" s="47" t="s">
        <v>1352</v>
      </c>
      <c r="E237" t="s">
        <v>914</v>
      </c>
      <c r="F237" t="s">
        <v>912</v>
      </c>
      <c r="G237" t="s">
        <v>915</v>
      </c>
      <c r="H237" s="62">
        <f>SUMIF(Assistencies!B:B, D237, Assistencies!F:F)</f>
        <v>0</v>
      </c>
      <c r="I237" s="62">
        <f>SUMIF(Assistencies!B:B, D237, Assistencies!H:H)</f>
        <v>0</v>
      </c>
      <c r="J237">
        <f>SUMIF(Assistencies!B:B, D237, Assistencies!I:I)</f>
        <v>0</v>
      </c>
      <c r="K237">
        <f>SUMIF(Assistencies!B:B, D237, Assistencies!J:J)</f>
        <v>0</v>
      </c>
    </row>
    <row r="238" spans="1:11">
      <c r="A238" t="s">
        <v>188</v>
      </c>
      <c r="B238" t="s">
        <v>201</v>
      </c>
      <c r="C238" t="s">
        <v>107</v>
      </c>
      <c r="D238" s="47" t="s">
        <v>1353</v>
      </c>
      <c r="E238" t="s">
        <v>200</v>
      </c>
      <c r="F238" t="s">
        <v>199</v>
      </c>
      <c r="G238" t="s">
        <v>199</v>
      </c>
      <c r="H238" s="62">
        <f>SUMIF(Assistencies!B:B, D238, Assistencies!F:F)</f>
        <v>0</v>
      </c>
      <c r="I238" s="62">
        <f>SUMIF(Assistencies!B:B, D238, Assistencies!H:H)</f>
        <v>0</v>
      </c>
      <c r="J238">
        <f>SUMIF(Assistencies!B:B, D238, Assistencies!I:I)</f>
        <v>0</v>
      </c>
      <c r="K238">
        <f>SUMIF(Assistencies!B:B, D238, Assistencies!J:J)</f>
        <v>0</v>
      </c>
    </row>
    <row r="239" spans="1:11">
      <c r="A239" t="s">
        <v>188</v>
      </c>
      <c r="B239" t="s">
        <v>917</v>
      </c>
      <c r="C239" t="s">
        <v>276</v>
      </c>
      <c r="D239" s="47" t="s">
        <v>1354</v>
      </c>
      <c r="E239" t="s">
        <v>916</v>
      </c>
      <c r="F239" t="s">
        <v>199</v>
      </c>
      <c r="G239" t="s">
        <v>199</v>
      </c>
      <c r="H239" s="62">
        <f>SUMIF(Assistencies!B:B, D239, Assistencies!F:F)</f>
        <v>0</v>
      </c>
      <c r="I239" s="62">
        <f>SUMIF(Assistencies!B:B, D239, Assistencies!H:H)</f>
        <v>0</v>
      </c>
      <c r="J239">
        <f>SUMIF(Assistencies!B:B, D239, Assistencies!I:I)</f>
        <v>0</v>
      </c>
      <c r="K239">
        <f>SUMIF(Assistencies!B:B, D239, Assistencies!J:J)</f>
        <v>0</v>
      </c>
    </row>
    <row r="240" spans="1:11">
      <c r="A240" t="s">
        <v>188</v>
      </c>
      <c r="B240" t="s">
        <v>204</v>
      </c>
      <c r="C240" t="s">
        <v>107</v>
      </c>
      <c r="D240" s="47" t="s">
        <v>1355</v>
      </c>
      <c r="E240" t="s">
        <v>203</v>
      </c>
      <c r="F240" t="s">
        <v>202</v>
      </c>
      <c r="G240" t="s">
        <v>907</v>
      </c>
      <c r="H240" s="62">
        <f>SUMIF(Assistencies!B:B, D240, Assistencies!F:F)</f>
        <v>0</v>
      </c>
      <c r="I240" s="62">
        <f>SUMIF(Assistencies!B:B, D240, Assistencies!H:H)</f>
        <v>0</v>
      </c>
      <c r="J240">
        <f>SUMIF(Assistencies!B:B, D240, Assistencies!I:I)</f>
        <v>0</v>
      </c>
      <c r="K240">
        <f>SUMIF(Assistencies!B:B, D240, Assistencies!J:J)</f>
        <v>0</v>
      </c>
    </row>
    <row r="241" spans="1:11">
      <c r="A241" t="s">
        <v>188</v>
      </c>
      <c r="B241" t="s">
        <v>921</v>
      </c>
      <c r="C241" t="s">
        <v>107</v>
      </c>
      <c r="D241" s="47" t="s">
        <v>1356</v>
      </c>
      <c r="E241" t="s">
        <v>919</v>
      </c>
      <c r="F241" t="s">
        <v>918</v>
      </c>
      <c r="G241" t="s">
        <v>920</v>
      </c>
      <c r="H241" s="62">
        <f>SUMIF(Assistencies!B:B, D241, Assistencies!F:F)</f>
        <v>0</v>
      </c>
      <c r="I241" s="62">
        <f>SUMIF(Assistencies!B:B, D241, Assistencies!H:H)</f>
        <v>0</v>
      </c>
      <c r="J241">
        <f>SUMIF(Assistencies!B:B, D241, Assistencies!I:I)</f>
        <v>0</v>
      </c>
      <c r="K241">
        <f>SUMIF(Assistencies!B:B, D241, Assistencies!J:J)</f>
        <v>0</v>
      </c>
    </row>
    <row r="242" spans="1:11">
      <c r="A242" t="s">
        <v>188</v>
      </c>
      <c r="B242" t="s">
        <v>207</v>
      </c>
      <c r="C242" t="s">
        <v>107</v>
      </c>
      <c r="D242" s="47" t="s">
        <v>1357</v>
      </c>
      <c r="E242" t="s">
        <v>206</v>
      </c>
      <c r="F242" t="s">
        <v>205</v>
      </c>
      <c r="G242" t="s">
        <v>922</v>
      </c>
      <c r="H242" s="62">
        <f>SUMIF(Assistencies!B:B, D242, Assistencies!F:F)</f>
        <v>0</v>
      </c>
      <c r="I242" s="62">
        <f>SUMIF(Assistencies!B:B, D242, Assistencies!H:H)</f>
        <v>0</v>
      </c>
      <c r="J242">
        <f>SUMIF(Assistencies!B:B, D242, Assistencies!I:I)</f>
        <v>0</v>
      </c>
      <c r="K242">
        <f>SUMIF(Assistencies!B:B, D242, Assistencies!J:J)</f>
        <v>0</v>
      </c>
    </row>
    <row r="243" spans="1:11">
      <c r="A243" t="s">
        <v>188</v>
      </c>
      <c r="B243" t="s">
        <v>210</v>
      </c>
      <c r="C243" t="s">
        <v>107</v>
      </c>
      <c r="D243" s="47" t="s">
        <v>1358</v>
      </c>
      <c r="E243" t="s">
        <v>209</v>
      </c>
      <c r="F243" t="s">
        <v>208</v>
      </c>
      <c r="G243" t="s">
        <v>292</v>
      </c>
      <c r="H243" s="62">
        <f>SUMIF(Assistencies!B:B, D243, Assistencies!F:F)</f>
        <v>0</v>
      </c>
      <c r="I243" s="62">
        <f>SUMIF(Assistencies!B:B, D243, Assistencies!H:H)</f>
        <v>0</v>
      </c>
      <c r="J243">
        <f>SUMIF(Assistencies!B:B, D243, Assistencies!I:I)</f>
        <v>0</v>
      </c>
      <c r="K243">
        <f>SUMIF(Assistencies!B:B, D243, Assistencies!J:J)</f>
        <v>0</v>
      </c>
    </row>
    <row r="244" spans="1:11">
      <c r="A244" t="s">
        <v>188</v>
      </c>
      <c r="B244" t="s">
        <v>213</v>
      </c>
      <c r="C244" t="s">
        <v>107</v>
      </c>
      <c r="D244" s="47" t="s">
        <v>1359</v>
      </c>
      <c r="E244" t="s">
        <v>212</v>
      </c>
      <c r="F244" t="s">
        <v>211</v>
      </c>
      <c r="G244" t="s">
        <v>765</v>
      </c>
      <c r="H244" s="62">
        <f>SUMIF(Assistencies!B:B, D244, Assistencies!F:F)</f>
        <v>0</v>
      </c>
      <c r="I244" s="62">
        <f>SUMIF(Assistencies!B:B, D244, Assistencies!H:H)</f>
        <v>0</v>
      </c>
      <c r="J244">
        <f>SUMIF(Assistencies!B:B, D244, Assistencies!I:I)</f>
        <v>0</v>
      </c>
      <c r="K244">
        <f>SUMIF(Assistencies!B:B, D244, Assistencies!J:J)</f>
        <v>0</v>
      </c>
    </row>
    <row r="245" spans="1:11">
      <c r="A245" t="s">
        <v>188</v>
      </c>
      <c r="B245" t="s">
        <v>216</v>
      </c>
      <c r="C245" t="s">
        <v>107</v>
      </c>
      <c r="D245" s="47" t="s">
        <v>1360</v>
      </c>
      <c r="E245" t="s">
        <v>215</v>
      </c>
      <c r="F245" t="s">
        <v>214</v>
      </c>
      <c r="G245" t="s">
        <v>214</v>
      </c>
      <c r="H245" s="62">
        <f>SUMIF(Assistencies!B:B, D245, Assistencies!F:F)</f>
        <v>0</v>
      </c>
      <c r="I245" s="62">
        <f>SUMIF(Assistencies!B:B, D245, Assistencies!H:H)</f>
        <v>0</v>
      </c>
      <c r="J245">
        <f>SUMIF(Assistencies!B:B, D245, Assistencies!I:I)</f>
        <v>0</v>
      </c>
      <c r="K245">
        <f>SUMIF(Assistencies!B:B, D245, Assistencies!J:J)</f>
        <v>0</v>
      </c>
    </row>
    <row r="246" spans="1:11">
      <c r="A246" t="s">
        <v>188</v>
      </c>
      <c r="B246" t="s">
        <v>216</v>
      </c>
      <c r="C246" t="s">
        <v>276</v>
      </c>
      <c r="D246" s="47" t="s">
        <v>1361</v>
      </c>
      <c r="E246" t="s">
        <v>925</v>
      </c>
      <c r="F246" t="s">
        <v>924</v>
      </c>
      <c r="G246" t="s">
        <v>926</v>
      </c>
      <c r="H246" s="62">
        <f>SUMIF(Assistencies!B:B, D246, Assistencies!F:F)</f>
        <v>0</v>
      </c>
      <c r="I246" s="62">
        <f>SUMIF(Assistencies!B:B, D246, Assistencies!H:H)</f>
        <v>0</v>
      </c>
      <c r="J246">
        <f>SUMIF(Assistencies!B:B, D246, Assistencies!I:I)</f>
        <v>0</v>
      </c>
      <c r="K246">
        <f>SUMIF(Assistencies!B:B, D246, Assistencies!J:J)</f>
        <v>0</v>
      </c>
    </row>
    <row r="247" spans="1:11">
      <c r="A247" t="s">
        <v>188</v>
      </c>
      <c r="B247" t="s">
        <v>219</v>
      </c>
      <c r="C247" t="s">
        <v>107</v>
      </c>
      <c r="D247" s="47" t="s">
        <v>1362</v>
      </c>
      <c r="E247" t="s">
        <v>218</v>
      </c>
      <c r="F247" t="s">
        <v>217</v>
      </c>
      <c r="G247" t="s">
        <v>931</v>
      </c>
      <c r="H247" s="62">
        <f>SUMIF(Assistencies!B:B, D247, Assistencies!F:F)</f>
        <v>0</v>
      </c>
      <c r="I247" s="62">
        <f>SUMIF(Assistencies!B:B, D247, Assistencies!H:H)</f>
        <v>0</v>
      </c>
      <c r="J247">
        <f>SUMIF(Assistencies!B:B, D247, Assistencies!I:I)</f>
        <v>0</v>
      </c>
      <c r="K247">
        <f>SUMIF(Assistencies!B:B, D247, Assistencies!J:J)</f>
        <v>0</v>
      </c>
    </row>
    <row r="248" spans="1:11">
      <c r="A248" t="s">
        <v>188</v>
      </c>
      <c r="B248" t="s">
        <v>219</v>
      </c>
      <c r="C248" t="s">
        <v>276</v>
      </c>
      <c r="D248" s="47" t="s">
        <v>1363</v>
      </c>
      <c r="E248" t="s">
        <v>928</v>
      </c>
      <c r="F248" t="s">
        <v>927</v>
      </c>
      <c r="G248" t="s">
        <v>929</v>
      </c>
      <c r="H248" s="62">
        <f>SUMIF(Assistencies!B:B, D248, Assistencies!F:F)</f>
        <v>0</v>
      </c>
      <c r="I248" s="62">
        <f>SUMIF(Assistencies!B:B, D248, Assistencies!H:H)</f>
        <v>0</v>
      </c>
      <c r="J248">
        <f>SUMIF(Assistencies!B:B, D248, Assistencies!I:I)</f>
        <v>0</v>
      </c>
      <c r="K248">
        <f>SUMIF(Assistencies!B:B, D248, Assistencies!J:J)</f>
        <v>0</v>
      </c>
    </row>
    <row r="249" spans="1:11">
      <c r="A249" t="s">
        <v>188</v>
      </c>
      <c r="B249" t="s">
        <v>219</v>
      </c>
      <c r="C249" t="s">
        <v>276</v>
      </c>
      <c r="D249" s="47" t="s">
        <v>1364</v>
      </c>
      <c r="E249" t="s">
        <v>930</v>
      </c>
      <c r="F249" t="s">
        <v>217</v>
      </c>
      <c r="G249" t="s">
        <v>931</v>
      </c>
      <c r="H249" s="62">
        <f>SUMIF(Assistencies!B:B, D249, Assistencies!F:F)</f>
        <v>0</v>
      </c>
      <c r="I249" s="62">
        <f>SUMIF(Assistencies!B:B, D249, Assistencies!H:H)</f>
        <v>0</v>
      </c>
      <c r="J249">
        <f>SUMIF(Assistencies!B:B, D249, Assistencies!I:I)</f>
        <v>0</v>
      </c>
      <c r="K249">
        <f>SUMIF(Assistencies!B:B, D249, Assistencies!J:J)</f>
        <v>0</v>
      </c>
    </row>
    <row r="250" spans="1:11">
      <c r="A250" t="s">
        <v>188</v>
      </c>
      <c r="B250" t="s">
        <v>222</v>
      </c>
      <c r="C250" t="s">
        <v>107</v>
      </c>
      <c r="D250" s="47" t="s">
        <v>1365</v>
      </c>
      <c r="E250" t="s">
        <v>221</v>
      </c>
      <c r="F250" t="s">
        <v>220</v>
      </c>
      <c r="G250" t="s">
        <v>441</v>
      </c>
      <c r="H250" s="62">
        <f>SUMIF(Assistencies!B:B, D250, Assistencies!F:F)</f>
        <v>0</v>
      </c>
      <c r="I250" s="62">
        <f>SUMIF(Assistencies!B:B, D250, Assistencies!H:H)</f>
        <v>0</v>
      </c>
      <c r="J250">
        <f>SUMIF(Assistencies!B:B, D250, Assistencies!I:I)</f>
        <v>0</v>
      </c>
      <c r="K250">
        <f>SUMIF(Assistencies!B:B, D250, Assistencies!J:J)</f>
        <v>0</v>
      </c>
    </row>
    <row r="251" spans="1:11">
      <c r="A251" t="s">
        <v>188</v>
      </c>
      <c r="B251" t="s">
        <v>225</v>
      </c>
      <c r="C251" t="s">
        <v>107</v>
      </c>
      <c r="D251" s="47" t="s">
        <v>1366</v>
      </c>
      <c r="E251" t="s">
        <v>224</v>
      </c>
      <c r="F251" t="s">
        <v>223</v>
      </c>
      <c r="G251" t="s">
        <v>807</v>
      </c>
      <c r="H251" s="62">
        <f>SUMIF(Assistencies!B:B, D251, Assistencies!F:F)</f>
        <v>0</v>
      </c>
      <c r="I251" s="62">
        <f>SUMIF(Assistencies!B:B, D251, Assistencies!H:H)</f>
        <v>0</v>
      </c>
      <c r="J251">
        <f>SUMIF(Assistencies!B:B, D251, Assistencies!I:I)</f>
        <v>0</v>
      </c>
      <c r="K251">
        <f>SUMIF(Assistencies!B:B, D251, Assistencies!J:J)</f>
        <v>0</v>
      </c>
    </row>
    <row r="252" spans="1:11">
      <c r="A252" t="s">
        <v>188</v>
      </c>
      <c r="B252" t="s">
        <v>225</v>
      </c>
      <c r="C252" t="s">
        <v>276</v>
      </c>
      <c r="D252" s="47" t="s">
        <v>1367</v>
      </c>
      <c r="E252" t="s">
        <v>932</v>
      </c>
      <c r="F252" t="s">
        <v>223</v>
      </c>
      <c r="G252" t="s">
        <v>807</v>
      </c>
      <c r="H252" s="62">
        <f>SUMIF(Assistencies!B:B, D252, Assistencies!F:F)</f>
        <v>0</v>
      </c>
      <c r="I252" s="62">
        <f>SUMIF(Assistencies!B:B, D252, Assistencies!H:H)</f>
        <v>0</v>
      </c>
      <c r="J252">
        <f>SUMIF(Assistencies!B:B, D252, Assistencies!I:I)</f>
        <v>0</v>
      </c>
      <c r="K252">
        <f>SUMIF(Assistencies!B:B, D252, Assistencies!J:J)</f>
        <v>0</v>
      </c>
    </row>
    <row r="253" spans="1:11">
      <c r="A253" t="s">
        <v>188</v>
      </c>
      <c r="B253" t="s">
        <v>225</v>
      </c>
      <c r="C253" t="s">
        <v>276</v>
      </c>
      <c r="D253" s="47" t="s">
        <v>1368</v>
      </c>
      <c r="E253" t="s">
        <v>935</v>
      </c>
      <c r="F253" t="s">
        <v>933</v>
      </c>
      <c r="G253" t="s">
        <v>936</v>
      </c>
      <c r="H253" s="62">
        <f>SUMIF(Assistencies!B:B, D253, Assistencies!F:F)</f>
        <v>0</v>
      </c>
      <c r="I253" s="62">
        <f>SUMIF(Assistencies!B:B, D253, Assistencies!H:H)</f>
        <v>0</v>
      </c>
      <c r="J253">
        <f>SUMIF(Assistencies!B:B, D253, Assistencies!I:I)</f>
        <v>0</v>
      </c>
      <c r="K253">
        <f>SUMIF(Assistencies!B:B, D253, Assistencies!J:J)</f>
        <v>0</v>
      </c>
    </row>
    <row r="254" spans="1:11">
      <c r="A254" t="s">
        <v>188</v>
      </c>
      <c r="B254" t="s">
        <v>227</v>
      </c>
      <c r="C254" t="s">
        <v>107</v>
      </c>
      <c r="D254" s="47" t="s">
        <v>1369</v>
      </c>
      <c r="E254" t="s">
        <v>227</v>
      </c>
      <c r="F254" t="s">
        <v>226</v>
      </c>
      <c r="G254" t="s">
        <v>226</v>
      </c>
      <c r="H254" s="62">
        <f>SUMIF(Assistencies!B:B, D254, Assistencies!F:F)</f>
        <v>0</v>
      </c>
      <c r="I254" s="62">
        <f>SUMIF(Assistencies!B:B, D254, Assistencies!H:H)</f>
        <v>0</v>
      </c>
      <c r="J254">
        <f>SUMIF(Assistencies!B:B, D254, Assistencies!I:I)</f>
        <v>0</v>
      </c>
      <c r="K254">
        <f>SUMIF(Assistencies!B:B, D254, Assistencies!J:J)</f>
        <v>0</v>
      </c>
    </row>
    <row r="255" spans="1:11">
      <c r="A255" t="s">
        <v>231</v>
      </c>
      <c r="B255" t="s">
        <v>230</v>
      </c>
      <c r="C255" t="s">
        <v>107</v>
      </c>
      <c r="D255" s="47" t="s">
        <v>1370</v>
      </c>
      <c r="E255" t="s">
        <v>229</v>
      </c>
      <c r="F255" t="s">
        <v>228</v>
      </c>
      <c r="G255" t="s">
        <v>228</v>
      </c>
      <c r="H255" s="62">
        <f>SUMIF(Assistencies!B:B, D255, Assistencies!F:F)</f>
        <v>0</v>
      </c>
      <c r="I255" s="62">
        <f>SUMIF(Assistencies!B:B, D255, Assistencies!H:H)</f>
        <v>0</v>
      </c>
      <c r="J255">
        <f>SUMIF(Assistencies!B:B, D255, Assistencies!I:I)</f>
        <v>0</v>
      </c>
      <c r="K255">
        <f>SUMIF(Assistencies!B:B, D255, Assistencies!J:J)</f>
        <v>0</v>
      </c>
    </row>
    <row r="256" spans="1:11">
      <c r="A256" t="s">
        <v>231</v>
      </c>
      <c r="B256" t="s">
        <v>234</v>
      </c>
      <c r="C256" t="s">
        <v>107</v>
      </c>
      <c r="D256" s="47" t="s">
        <v>1371</v>
      </c>
      <c r="E256" t="s">
        <v>233</v>
      </c>
      <c r="F256" t="s">
        <v>232</v>
      </c>
      <c r="G256" t="s">
        <v>232</v>
      </c>
      <c r="H256" s="62">
        <f>SUMIF(Assistencies!B:B, D256, Assistencies!F:F)</f>
        <v>0</v>
      </c>
      <c r="I256" s="62">
        <f>SUMIF(Assistencies!B:B, D256, Assistencies!H:H)</f>
        <v>0</v>
      </c>
      <c r="J256">
        <f>SUMIF(Assistencies!B:B, D256, Assistencies!I:I)</f>
        <v>0</v>
      </c>
      <c r="K256">
        <f>SUMIF(Assistencies!B:B, D256, Assistencies!J:J)</f>
        <v>0</v>
      </c>
    </row>
    <row r="257" spans="1:11">
      <c r="A257" t="s">
        <v>231</v>
      </c>
      <c r="B257" t="s">
        <v>237</v>
      </c>
      <c r="C257" t="s">
        <v>107</v>
      </c>
      <c r="D257" s="47" t="s">
        <v>1372</v>
      </c>
      <c r="E257" t="s">
        <v>236</v>
      </c>
      <c r="F257" t="s">
        <v>235</v>
      </c>
      <c r="G257" t="s">
        <v>938</v>
      </c>
      <c r="H257" s="62">
        <f>SUMIF(Assistencies!B:B, D257, Assistencies!F:F)</f>
        <v>0</v>
      </c>
      <c r="I257" s="62">
        <f>SUMIF(Assistencies!B:B, D257, Assistencies!H:H)</f>
        <v>0</v>
      </c>
      <c r="J257">
        <f>SUMIF(Assistencies!B:B, D257, Assistencies!I:I)</f>
        <v>0</v>
      </c>
      <c r="K257">
        <f>SUMIF(Assistencies!B:B, D257, Assistencies!J:J)</f>
        <v>0</v>
      </c>
    </row>
    <row r="258" spans="1:11">
      <c r="A258" t="s">
        <v>231</v>
      </c>
      <c r="B258" t="s">
        <v>237</v>
      </c>
      <c r="C258" t="s">
        <v>276</v>
      </c>
      <c r="D258" s="47" t="s">
        <v>1373</v>
      </c>
      <c r="E258" t="s">
        <v>937</v>
      </c>
      <c r="F258" t="s">
        <v>235</v>
      </c>
      <c r="G258" t="s">
        <v>938</v>
      </c>
      <c r="H258" s="62">
        <f>SUMIF(Assistencies!B:B, D258, Assistencies!F:F)</f>
        <v>0</v>
      </c>
      <c r="I258" s="62">
        <f>SUMIF(Assistencies!B:B, D258, Assistencies!H:H)</f>
        <v>0</v>
      </c>
      <c r="J258">
        <f>SUMIF(Assistencies!B:B, D258, Assistencies!I:I)</f>
        <v>0</v>
      </c>
      <c r="K258">
        <f>SUMIF(Assistencies!B:B, D258, Assistencies!J:J)</f>
        <v>0</v>
      </c>
    </row>
    <row r="259" spans="1:11">
      <c r="A259" t="s">
        <v>231</v>
      </c>
      <c r="B259" t="s">
        <v>237</v>
      </c>
      <c r="C259" t="s">
        <v>276</v>
      </c>
      <c r="D259" s="47" t="s">
        <v>1374</v>
      </c>
      <c r="E259" t="s">
        <v>930</v>
      </c>
      <c r="F259" t="s">
        <v>217</v>
      </c>
      <c r="G259" t="s">
        <v>931</v>
      </c>
      <c r="H259" s="62">
        <f>SUMIF(Assistencies!B:B, D259, Assistencies!F:F)</f>
        <v>0</v>
      </c>
      <c r="I259" s="62">
        <f>SUMIF(Assistencies!B:B, D259, Assistencies!H:H)</f>
        <v>0</v>
      </c>
      <c r="J259">
        <f>SUMIF(Assistencies!B:B, D259, Assistencies!I:I)</f>
        <v>0</v>
      </c>
      <c r="K259">
        <f>SUMIF(Assistencies!B:B, D259, Assistencies!J:J)</f>
        <v>0</v>
      </c>
    </row>
    <row r="260" spans="1:11">
      <c r="A260" t="s">
        <v>231</v>
      </c>
      <c r="B260" t="s">
        <v>240</v>
      </c>
      <c r="C260" t="s">
        <v>107</v>
      </c>
      <c r="D260" s="47" t="s">
        <v>1375</v>
      </c>
      <c r="E260" t="s">
        <v>239</v>
      </c>
      <c r="F260" t="s">
        <v>238</v>
      </c>
      <c r="G260" t="s">
        <v>238</v>
      </c>
      <c r="H260" s="62">
        <f>SUMIF(Assistencies!B:B, D260, Assistencies!F:F)</f>
        <v>0</v>
      </c>
      <c r="I260" s="62">
        <f>SUMIF(Assistencies!B:B, D260, Assistencies!H:H)</f>
        <v>0</v>
      </c>
      <c r="J260">
        <f>SUMIF(Assistencies!B:B, D260, Assistencies!I:I)</f>
        <v>0</v>
      </c>
      <c r="K260">
        <f>SUMIF(Assistencies!B:B, D260, Assistencies!J:J)</f>
        <v>0</v>
      </c>
    </row>
    <row r="261" spans="1:11">
      <c r="A261" t="s">
        <v>13</v>
      </c>
      <c r="B261" t="s">
        <v>31</v>
      </c>
      <c r="C261" t="s">
        <v>276</v>
      </c>
      <c r="D261" s="47" t="s">
        <v>1376</v>
      </c>
      <c r="E261" t="s">
        <v>31</v>
      </c>
      <c r="F261" t="s">
        <v>30</v>
      </c>
      <c r="G261" t="s">
        <v>30</v>
      </c>
      <c r="H261" s="62">
        <f>SUMIF(Assistencies!B:B, D261, Assistencies!F:F)</f>
        <v>0</v>
      </c>
      <c r="I261" s="62">
        <f>SUMIF(Assistencies!B:B, D261, Assistencies!H:H)</f>
        <v>0</v>
      </c>
      <c r="J261">
        <f>SUMIF(Assistencies!B:B, D261, Assistencies!I:I)</f>
        <v>0</v>
      </c>
      <c r="K261">
        <f>SUMIF(Assistencies!B:B, D261, Assistencies!J:J)</f>
        <v>0</v>
      </c>
    </row>
    <row r="262" spans="1:11">
      <c r="A262" t="s">
        <v>13</v>
      </c>
      <c r="B262" t="s">
        <v>57</v>
      </c>
      <c r="C262" t="s">
        <v>276</v>
      </c>
      <c r="D262" s="47" t="s">
        <v>1377</v>
      </c>
      <c r="E262" t="s">
        <v>57</v>
      </c>
      <c r="F262" t="s">
        <v>55</v>
      </c>
      <c r="G262" t="s">
        <v>58</v>
      </c>
      <c r="H262" s="62">
        <f>SUMIF(Assistencies!B:B, D262, Assistencies!F:F)</f>
        <v>0</v>
      </c>
      <c r="I262" s="62">
        <f>SUMIF(Assistencies!B:B, D262, Assistencies!H:H)</f>
        <v>0</v>
      </c>
      <c r="J262">
        <f>SUMIF(Assistencies!B:B, D262, Assistencies!I:I)</f>
        <v>0</v>
      </c>
      <c r="K262">
        <f>SUMIF(Assistencies!B:B, D262, Assistencies!J:J)</f>
        <v>0</v>
      </c>
    </row>
    <row r="263" spans="1:11">
      <c r="A263" t="s">
        <v>13</v>
      </c>
      <c r="B263" t="s">
        <v>77</v>
      </c>
      <c r="C263" t="s">
        <v>276</v>
      </c>
      <c r="D263" s="47" t="s">
        <v>1378</v>
      </c>
      <c r="E263" t="s">
        <v>77</v>
      </c>
      <c r="F263" t="s">
        <v>76</v>
      </c>
      <c r="G263" t="s">
        <v>76</v>
      </c>
      <c r="H263" s="62">
        <f>SUMIF(Assistencies!B:B, D263, Assistencies!F:F)</f>
        <v>0</v>
      </c>
      <c r="I263" s="62">
        <f>SUMIF(Assistencies!B:B, D263, Assistencies!H:H)</f>
        <v>0</v>
      </c>
      <c r="J263">
        <f>SUMIF(Assistencies!B:B, D263, Assistencies!I:I)</f>
        <v>0</v>
      </c>
      <c r="K263">
        <f>SUMIF(Assistencies!B:B, D263, Assistencies!J:J)</f>
        <v>0</v>
      </c>
    </row>
    <row r="264" spans="1:11">
      <c r="A264" t="s">
        <v>13</v>
      </c>
      <c r="B264" t="s">
        <v>60</v>
      </c>
      <c r="C264" t="s">
        <v>276</v>
      </c>
      <c r="D264" s="47" t="s">
        <v>1379</v>
      </c>
      <c r="E264" t="s">
        <v>60</v>
      </c>
      <c r="F264" t="s">
        <v>59</v>
      </c>
      <c r="G264" t="s">
        <v>59</v>
      </c>
      <c r="H264" s="62">
        <f>SUMIF(Assistencies!B:B, D264, Assistencies!F:F)</f>
        <v>0</v>
      </c>
      <c r="I264" s="62">
        <f>SUMIF(Assistencies!B:B, D264, Assistencies!H:H)</f>
        <v>0</v>
      </c>
      <c r="J264">
        <f>SUMIF(Assistencies!B:B, D264, Assistencies!I:I)</f>
        <v>0</v>
      </c>
      <c r="K264">
        <f>SUMIF(Assistencies!B:B, D264, Assistencies!J:J)</f>
        <v>0</v>
      </c>
    </row>
    <row r="265" spans="1:11">
      <c r="A265" t="s">
        <v>13</v>
      </c>
      <c r="B265" t="s">
        <v>53</v>
      </c>
      <c r="C265" t="s">
        <v>276</v>
      </c>
      <c r="D265" s="47" t="s">
        <v>1380</v>
      </c>
      <c r="E265" t="s">
        <v>53</v>
      </c>
      <c r="F265" t="s">
        <v>52</v>
      </c>
      <c r="G265" t="s">
        <v>54</v>
      </c>
      <c r="H265" s="62">
        <f>SUMIF(Assistencies!B:B, D265, Assistencies!F:F)</f>
        <v>0</v>
      </c>
      <c r="I265" s="62">
        <f>SUMIF(Assistencies!B:B, D265, Assistencies!H:H)</f>
        <v>0</v>
      </c>
      <c r="J265">
        <f>SUMIF(Assistencies!B:B, D265, Assistencies!I:I)</f>
        <v>0</v>
      </c>
      <c r="K265">
        <f>SUMIF(Assistencies!B:B, D265, Assistencies!J:J)</f>
        <v>0</v>
      </c>
    </row>
    <row r="266" spans="1:11">
      <c r="A266" t="s">
        <v>13</v>
      </c>
      <c r="B266" t="s">
        <v>74</v>
      </c>
      <c r="C266" t="s">
        <v>276</v>
      </c>
      <c r="D266" s="47" t="s">
        <v>1381</v>
      </c>
      <c r="E266" t="s">
        <v>74</v>
      </c>
      <c r="F266" t="s">
        <v>72</v>
      </c>
      <c r="G266" t="s">
        <v>75</v>
      </c>
      <c r="H266" s="62">
        <f>SUMIF(Assistencies!B:B, D266, Assistencies!F:F)</f>
        <v>0</v>
      </c>
      <c r="I266" s="62">
        <f>SUMIF(Assistencies!B:B, D266, Assistencies!H:H)</f>
        <v>0</v>
      </c>
      <c r="J266">
        <f>SUMIF(Assistencies!B:B, D266, Assistencies!I:I)</f>
        <v>0</v>
      </c>
      <c r="K266">
        <f>SUMIF(Assistencies!B:B, D266, Assistencies!J:J)</f>
        <v>0</v>
      </c>
    </row>
    <row r="267" spans="1:11">
      <c r="A267" t="s">
        <v>13</v>
      </c>
      <c r="B267" t="s">
        <v>19</v>
      </c>
      <c r="C267" t="s">
        <v>276</v>
      </c>
      <c r="D267" s="47" t="s">
        <v>1382</v>
      </c>
      <c r="E267" t="s">
        <v>19</v>
      </c>
      <c r="F267" t="s">
        <v>17</v>
      </c>
      <c r="G267" t="s">
        <v>20</v>
      </c>
      <c r="H267" s="62">
        <f>SUMIF(Assistencies!B:B, D267, Assistencies!F:F)</f>
        <v>0</v>
      </c>
      <c r="I267" s="62">
        <f>SUMIF(Assistencies!B:B, D267, Assistencies!H:H)</f>
        <v>0</v>
      </c>
      <c r="J267">
        <f>SUMIF(Assistencies!B:B, D267, Assistencies!I:I)</f>
        <v>0</v>
      </c>
      <c r="K267">
        <f>SUMIF(Assistencies!B:B, D267, Assistencies!J:J)</f>
        <v>0</v>
      </c>
    </row>
    <row r="268" spans="1:11">
      <c r="A268" t="s">
        <v>13</v>
      </c>
      <c r="B268" t="s">
        <v>85</v>
      </c>
      <c r="C268" t="s">
        <v>276</v>
      </c>
      <c r="D268" s="47" t="s">
        <v>1383</v>
      </c>
      <c r="E268" t="s">
        <v>85</v>
      </c>
      <c r="F268" t="s">
        <v>83</v>
      </c>
      <c r="G268" t="s">
        <v>86</v>
      </c>
      <c r="H268" s="62">
        <f>SUMIF(Assistencies!B:B, D268, Assistencies!F:F)</f>
        <v>0</v>
      </c>
      <c r="I268" s="62">
        <f>SUMIF(Assistencies!B:B, D268, Assistencies!H:H)</f>
        <v>0</v>
      </c>
      <c r="J268">
        <f>SUMIF(Assistencies!B:B, D268, Assistencies!I:I)</f>
        <v>0</v>
      </c>
      <c r="K268">
        <f>SUMIF(Assistencies!B:B, D268, Assistencies!J:J)</f>
        <v>0</v>
      </c>
    </row>
    <row r="269" spans="1:11">
      <c r="A269" t="s">
        <v>13</v>
      </c>
      <c r="B269" t="s">
        <v>29</v>
      </c>
      <c r="C269" t="s">
        <v>276</v>
      </c>
      <c r="D269" s="47" t="s">
        <v>1384</v>
      </c>
      <c r="E269" t="s">
        <v>29</v>
      </c>
      <c r="F269" t="s">
        <v>28</v>
      </c>
      <c r="G269" t="s">
        <v>28</v>
      </c>
      <c r="H269" s="62">
        <f>SUMIF(Assistencies!B:B, D269, Assistencies!F:F)</f>
        <v>0</v>
      </c>
      <c r="I269" s="62">
        <f>SUMIF(Assistencies!B:B, D269, Assistencies!H:H)</f>
        <v>0</v>
      </c>
      <c r="J269">
        <f>SUMIF(Assistencies!B:B, D269, Assistencies!I:I)</f>
        <v>0</v>
      </c>
      <c r="K269">
        <f>SUMIF(Assistencies!B:B, D269, Assistencies!J:J)</f>
        <v>0</v>
      </c>
    </row>
    <row r="270" spans="1:11">
      <c r="A270" t="s">
        <v>13</v>
      </c>
      <c r="B270" t="s">
        <v>26</v>
      </c>
      <c r="C270" t="s">
        <v>276</v>
      </c>
      <c r="D270" s="47" t="s">
        <v>1385</v>
      </c>
      <c r="E270" t="s">
        <v>26</v>
      </c>
      <c r="F270" t="s">
        <v>24</v>
      </c>
      <c r="G270" t="s">
        <v>27</v>
      </c>
      <c r="H270" s="62">
        <f>SUMIF(Assistencies!B:B, D270, Assistencies!F:F)</f>
        <v>0</v>
      </c>
      <c r="I270" s="62">
        <f>SUMIF(Assistencies!B:B, D270, Assistencies!H:H)</f>
        <v>0</v>
      </c>
      <c r="J270">
        <f>SUMIF(Assistencies!B:B, D270, Assistencies!I:I)</f>
        <v>0</v>
      </c>
      <c r="K270">
        <f>SUMIF(Assistencies!B:B, D270, Assistencies!J:J)</f>
        <v>0</v>
      </c>
    </row>
    <row r="271" spans="1:11">
      <c r="A271" t="s">
        <v>13</v>
      </c>
      <c r="B271" t="s">
        <v>91</v>
      </c>
      <c r="C271" t="s">
        <v>276</v>
      </c>
      <c r="D271" s="47" t="s">
        <v>1386</v>
      </c>
      <c r="E271" t="s">
        <v>91</v>
      </c>
      <c r="F271" t="s">
        <v>90</v>
      </c>
      <c r="G271" t="s">
        <v>92</v>
      </c>
      <c r="H271" s="62">
        <f>SUMIF(Assistencies!B:B, D271, Assistencies!F:F)</f>
        <v>0</v>
      </c>
      <c r="I271" s="62">
        <f>SUMIF(Assistencies!B:B, D271, Assistencies!H:H)</f>
        <v>0</v>
      </c>
      <c r="J271">
        <f>SUMIF(Assistencies!B:B, D271, Assistencies!I:I)</f>
        <v>0</v>
      </c>
      <c r="K271">
        <f>SUMIF(Assistencies!B:B, D271, Assistencies!J:J)</f>
        <v>0</v>
      </c>
    </row>
    <row r="272" spans="1:11">
      <c r="A272" t="s">
        <v>13</v>
      </c>
      <c r="B272" t="s">
        <v>44</v>
      </c>
      <c r="C272" t="s">
        <v>276</v>
      </c>
      <c r="D272" s="47" t="s">
        <v>1387</v>
      </c>
      <c r="E272" t="s">
        <v>44</v>
      </c>
      <c r="F272" t="s">
        <v>43</v>
      </c>
      <c r="G272" t="s">
        <v>45</v>
      </c>
      <c r="H272" s="62">
        <f>SUMIF(Assistencies!B:B, D272, Assistencies!F:F)</f>
        <v>0</v>
      </c>
      <c r="I272" s="62">
        <f>SUMIF(Assistencies!B:B, D272, Assistencies!H:H)</f>
        <v>0</v>
      </c>
      <c r="J272">
        <f>SUMIF(Assistencies!B:B, D272, Assistencies!I:I)</f>
        <v>0</v>
      </c>
      <c r="K272">
        <f>SUMIF(Assistencies!B:B, D272, Assistencies!J:J)</f>
        <v>0</v>
      </c>
    </row>
    <row r="273" spans="1:11">
      <c r="A273" t="s">
        <v>13</v>
      </c>
      <c r="B273" t="s">
        <v>70</v>
      </c>
      <c r="C273" t="s">
        <v>276</v>
      </c>
      <c r="D273" s="47" t="s">
        <v>1388</v>
      </c>
      <c r="E273" t="s">
        <v>70</v>
      </c>
      <c r="F273" t="s">
        <v>68</v>
      </c>
      <c r="G273" t="s">
        <v>71</v>
      </c>
      <c r="H273" s="62">
        <f>SUMIF(Assistencies!B:B, D273, Assistencies!F:F)</f>
        <v>0</v>
      </c>
      <c r="I273" s="62">
        <f>SUMIF(Assistencies!B:B, D273, Assistencies!H:H)</f>
        <v>0</v>
      </c>
      <c r="J273">
        <f>SUMIF(Assistencies!B:B, D273, Assistencies!I:I)</f>
        <v>0</v>
      </c>
      <c r="K273">
        <f>SUMIF(Assistencies!B:B, D273, Assistencies!J:J)</f>
        <v>0</v>
      </c>
    </row>
    <row r="274" spans="1:11">
      <c r="A274" t="s">
        <v>13</v>
      </c>
      <c r="B274" t="s">
        <v>15</v>
      </c>
      <c r="C274" t="s">
        <v>276</v>
      </c>
      <c r="D274" s="47" t="s">
        <v>1389</v>
      </c>
      <c r="E274" t="s">
        <v>15</v>
      </c>
      <c r="F274" t="s">
        <v>14</v>
      </c>
      <c r="G274" t="s">
        <v>16</v>
      </c>
      <c r="H274" s="62">
        <f>SUMIF(Assistencies!B:B, D274, Assistencies!F:F)</f>
        <v>0</v>
      </c>
      <c r="I274" s="62">
        <f>SUMIF(Assistencies!B:B, D274, Assistencies!H:H)</f>
        <v>0</v>
      </c>
      <c r="J274">
        <f>SUMIF(Assistencies!B:B, D274, Assistencies!I:I)</f>
        <v>0</v>
      </c>
      <c r="K274">
        <f>SUMIF(Assistencies!B:B, D274, Assistencies!J:J)</f>
        <v>0</v>
      </c>
    </row>
    <row r="275" spans="1:11">
      <c r="A275" t="s">
        <v>13</v>
      </c>
      <c r="B275" t="s">
        <v>63</v>
      </c>
      <c r="C275" t="s">
        <v>276</v>
      </c>
      <c r="D275" s="47" t="s">
        <v>1390</v>
      </c>
      <c r="E275" t="s">
        <v>63</v>
      </c>
      <c r="F275" t="s">
        <v>61</v>
      </c>
      <c r="G275" t="s">
        <v>61</v>
      </c>
      <c r="H275" s="62">
        <f>SUMIF(Assistencies!B:B, D275, Assistencies!F:F)</f>
        <v>0</v>
      </c>
      <c r="I275" s="62">
        <f>SUMIF(Assistencies!B:B, D275, Assistencies!H:H)</f>
        <v>0</v>
      </c>
      <c r="J275">
        <f>SUMIF(Assistencies!B:B, D275, Assistencies!I:I)</f>
        <v>0</v>
      </c>
      <c r="K275">
        <f>SUMIF(Assistencies!B:B, D275, Assistencies!J:J)</f>
        <v>0</v>
      </c>
    </row>
    <row r="276" spans="1:11">
      <c r="A276" t="s">
        <v>13</v>
      </c>
      <c r="B276" t="s">
        <v>98</v>
      </c>
      <c r="C276" t="s">
        <v>276</v>
      </c>
      <c r="D276" s="47" t="s">
        <v>1391</v>
      </c>
      <c r="E276" t="s">
        <v>98</v>
      </c>
      <c r="F276" t="s">
        <v>97</v>
      </c>
      <c r="G276" t="s">
        <v>99</v>
      </c>
      <c r="H276" s="62">
        <f>SUMIF(Assistencies!B:B, D276, Assistencies!F:F)</f>
        <v>0</v>
      </c>
      <c r="I276" s="62">
        <f>SUMIF(Assistencies!B:B, D276, Assistencies!H:H)</f>
        <v>0</v>
      </c>
      <c r="J276">
        <f>SUMIF(Assistencies!B:B, D276, Assistencies!I:I)</f>
        <v>0</v>
      </c>
      <c r="K276">
        <f>SUMIF(Assistencies!B:B, D276, Assistencies!J:J)</f>
        <v>0</v>
      </c>
    </row>
    <row r="277" spans="1:11">
      <c r="A277" t="s">
        <v>13</v>
      </c>
      <c r="B277" t="s">
        <v>82</v>
      </c>
      <c r="C277" t="s">
        <v>276</v>
      </c>
      <c r="D277" s="47" t="s">
        <v>1392</v>
      </c>
      <c r="E277" t="s">
        <v>82</v>
      </c>
      <c r="F277" t="s">
        <v>80</v>
      </c>
      <c r="G277" t="s">
        <v>80</v>
      </c>
      <c r="H277" s="62">
        <f>SUMIF(Assistencies!B:B, D277, Assistencies!F:F)</f>
        <v>0</v>
      </c>
      <c r="I277" s="62">
        <f>SUMIF(Assistencies!B:B, D277, Assistencies!H:H)</f>
        <v>0</v>
      </c>
      <c r="J277">
        <f>SUMIF(Assistencies!B:B, D277, Assistencies!I:I)</f>
        <v>0</v>
      </c>
      <c r="K277">
        <f>SUMIF(Assistencies!B:B, D277, Assistencies!J:J)</f>
        <v>0</v>
      </c>
    </row>
    <row r="278" spans="1:11">
      <c r="A278" t="s">
        <v>13</v>
      </c>
      <c r="B278" t="s">
        <v>88</v>
      </c>
      <c r="C278" t="s">
        <v>276</v>
      </c>
      <c r="D278" s="47" t="s">
        <v>1393</v>
      </c>
      <c r="E278" t="s">
        <v>88</v>
      </c>
      <c r="F278" t="s">
        <v>87</v>
      </c>
      <c r="G278" t="s">
        <v>89</v>
      </c>
      <c r="H278" s="62">
        <f>SUMIF(Assistencies!B:B, D278, Assistencies!F:F)</f>
        <v>0</v>
      </c>
      <c r="I278" s="62">
        <f>SUMIF(Assistencies!B:B, D278, Assistencies!H:H)</f>
        <v>0</v>
      </c>
      <c r="J278">
        <f>SUMIF(Assistencies!B:B, D278, Assistencies!I:I)</f>
        <v>0</v>
      </c>
      <c r="K278">
        <f>SUMIF(Assistencies!B:B, D278, Assistencies!J:J)</f>
        <v>0</v>
      </c>
    </row>
    <row r="279" spans="1:11">
      <c r="A279" t="s">
        <v>13</v>
      </c>
      <c r="B279" t="s">
        <v>66</v>
      </c>
      <c r="C279" t="s">
        <v>276</v>
      </c>
      <c r="D279" s="47" t="s">
        <v>1394</v>
      </c>
      <c r="E279" t="s">
        <v>66</v>
      </c>
      <c r="F279" t="s">
        <v>64</v>
      </c>
      <c r="G279" t="s">
        <v>67</v>
      </c>
      <c r="H279" s="62">
        <f>SUMIF(Assistencies!B:B, D279, Assistencies!F:F)</f>
        <v>0</v>
      </c>
      <c r="I279" s="62">
        <f>SUMIF(Assistencies!B:B, D279, Assistencies!H:H)</f>
        <v>0</v>
      </c>
      <c r="J279">
        <f>SUMIF(Assistencies!B:B, D279, Assistencies!I:I)</f>
        <v>0</v>
      </c>
      <c r="K279">
        <f>SUMIF(Assistencies!B:B, D279, Assistencies!J:J)</f>
        <v>0</v>
      </c>
    </row>
    <row r="280" spans="1:11">
      <c r="A280" t="s">
        <v>13</v>
      </c>
      <c r="B280" t="s">
        <v>22</v>
      </c>
      <c r="C280" t="s">
        <v>276</v>
      </c>
      <c r="D280" s="47" t="s">
        <v>1395</v>
      </c>
      <c r="E280" t="s">
        <v>22</v>
      </c>
      <c r="F280" t="s">
        <v>21</v>
      </c>
      <c r="G280" t="s">
        <v>23</v>
      </c>
      <c r="H280" s="62">
        <f>SUMIF(Assistencies!B:B, D280, Assistencies!F:F)</f>
        <v>0</v>
      </c>
      <c r="I280" s="62">
        <f>SUMIF(Assistencies!B:B, D280, Assistencies!H:H)</f>
        <v>0</v>
      </c>
      <c r="J280">
        <f>SUMIF(Assistencies!B:B, D280, Assistencies!I:I)</f>
        <v>0</v>
      </c>
      <c r="K280">
        <f>SUMIF(Assistencies!B:B, D280, Assistencies!J:J)</f>
        <v>0</v>
      </c>
    </row>
    <row r="281" spans="1:11">
      <c r="A281" t="s">
        <v>13</v>
      </c>
      <c r="B281" t="s">
        <v>40</v>
      </c>
      <c r="C281" t="s">
        <v>276</v>
      </c>
      <c r="D281" s="47" t="s">
        <v>1396</v>
      </c>
      <c r="E281" t="s">
        <v>40</v>
      </c>
      <c r="F281" t="s">
        <v>38</v>
      </c>
      <c r="G281" t="s">
        <v>42</v>
      </c>
      <c r="H281" s="62">
        <f>SUMIF(Assistencies!B:B, D281, Assistencies!F:F)</f>
        <v>0</v>
      </c>
      <c r="I281" s="62">
        <f>SUMIF(Assistencies!B:B, D281, Assistencies!H:H)</f>
        <v>0</v>
      </c>
      <c r="J281">
        <f>SUMIF(Assistencies!B:B, D281, Assistencies!I:I)</f>
        <v>0</v>
      </c>
      <c r="K281">
        <f>SUMIF(Assistencies!B:B, D281, Assistencies!J:J)</f>
        <v>0</v>
      </c>
    </row>
    <row r="282" spans="1:11">
      <c r="A282" t="s">
        <v>244</v>
      </c>
      <c r="B282" t="s">
        <v>243</v>
      </c>
      <c r="C282" t="s">
        <v>107</v>
      </c>
      <c r="D282" s="47" t="s">
        <v>1397</v>
      </c>
      <c r="E282" t="s">
        <v>242</v>
      </c>
      <c r="F282" t="s">
        <v>241</v>
      </c>
      <c r="G282" t="s">
        <v>241</v>
      </c>
      <c r="H282" s="62">
        <f>SUMIF(Assistencies!B:B, D282, Assistencies!F:F)</f>
        <v>0</v>
      </c>
      <c r="I282" s="62">
        <f>SUMIF(Assistencies!B:B, D282, Assistencies!H:H)</f>
        <v>0</v>
      </c>
      <c r="J282">
        <f>SUMIF(Assistencies!B:B, D282, Assistencies!I:I)</f>
        <v>0</v>
      </c>
      <c r="K282">
        <f>SUMIF(Assistencies!B:B, D282, Assistencies!J:J)</f>
        <v>0</v>
      </c>
    </row>
    <row r="283" spans="1:11">
      <c r="A283" t="s">
        <v>244</v>
      </c>
      <c r="B283" t="s">
        <v>247</v>
      </c>
      <c r="C283" t="s">
        <v>107</v>
      </c>
      <c r="D283" s="47" t="s">
        <v>1398</v>
      </c>
      <c r="E283" t="s">
        <v>246</v>
      </c>
      <c r="F283" t="s">
        <v>245</v>
      </c>
      <c r="G283" t="s">
        <v>245</v>
      </c>
      <c r="H283" s="62">
        <f>SUMIF(Assistencies!B:B, D283, Assistencies!F:F)</f>
        <v>0</v>
      </c>
      <c r="I283" s="62">
        <f>SUMIF(Assistencies!B:B, D283, Assistencies!H:H)</f>
        <v>0</v>
      </c>
      <c r="J283">
        <f>SUMIF(Assistencies!B:B, D283, Assistencies!I:I)</f>
        <v>0</v>
      </c>
      <c r="K283">
        <f>SUMIF(Assistencies!B:B, D283, Assistencies!J:J)</f>
        <v>0</v>
      </c>
    </row>
    <row r="284" spans="1:11">
      <c r="A284" t="s">
        <v>244</v>
      </c>
      <c r="B284" t="s">
        <v>942</v>
      </c>
      <c r="C284" t="s">
        <v>276</v>
      </c>
      <c r="D284" s="47" t="s">
        <v>1399</v>
      </c>
      <c r="E284" t="s">
        <v>940</v>
      </c>
      <c r="F284" t="s">
        <v>939</v>
      </c>
      <c r="G284" t="s">
        <v>941</v>
      </c>
      <c r="H284" s="62">
        <f>SUMIF(Assistencies!B:B, D284, Assistencies!F:F)</f>
        <v>0</v>
      </c>
      <c r="I284" s="62">
        <f>SUMIF(Assistencies!B:B, D284, Assistencies!H:H)</f>
        <v>0</v>
      </c>
      <c r="J284">
        <f>SUMIF(Assistencies!B:B, D284, Assistencies!I:I)</f>
        <v>0</v>
      </c>
      <c r="K284">
        <f>SUMIF(Assistencies!B:B, D284, Assistencies!J:J)</f>
        <v>0</v>
      </c>
    </row>
    <row r="285" spans="1:11">
      <c r="A285" t="s">
        <v>244</v>
      </c>
      <c r="B285" t="s">
        <v>942</v>
      </c>
      <c r="C285" t="s">
        <v>276</v>
      </c>
      <c r="D285" s="47" t="s">
        <v>1400</v>
      </c>
      <c r="E285" t="s">
        <v>944</v>
      </c>
      <c r="F285" t="s">
        <v>943</v>
      </c>
      <c r="G285" t="s">
        <v>943</v>
      </c>
      <c r="H285" s="62">
        <f>SUMIF(Assistencies!B:B, D285, Assistencies!F:F)</f>
        <v>0</v>
      </c>
      <c r="I285" s="62">
        <f>SUMIF(Assistencies!B:B, D285, Assistencies!H:H)</f>
        <v>0</v>
      </c>
      <c r="J285">
        <f>SUMIF(Assistencies!B:B, D285, Assistencies!I:I)</f>
        <v>0</v>
      </c>
      <c r="K285">
        <f>SUMIF(Assistencies!B:B, D285, Assistencies!J:J)</f>
        <v>0</v>
      </c>
    </row>
    <row r="286" spans="1:11">
      <c r="A286" t="s">
        <v>244</v>
      </c>
      <c r="B286" t="s">
        <v>942</v>
      </c>
      <c r="C286" t="s">
        <v>276</v>
      </c>
      <c r="D286" s="47" t="s">
        <v>1401</v>
      </c>
      <c r="E286" t="s">
        <v>945</v>
      </c>
      <c r="F286" t="s">
        <v>245</v>
      </c>
      <c r="G286" t="s">
        <v>245</v>
      </c>
      <c r="H286" s="62">
        <f>SUMIF(Assistencies!B:B, D286, Assistencies!F:F)</f>
        <v>0</v>
      </c>
      <c r="I286" s="62">
        <f>SUMIF(Assistencies!B:B, D286, Assistencies!H:H)</f>
        <v>0</v>
      </c>
      <c r="J286">
        <f>SUMIF(Assistencies!B:B, D286, Assistencies!I:I)</f>
        <v>0</v>
      </c>
      <c r="K286">
        <f>SUMIF(Assistencies!B:B, D286, Assistencies!J:J)</f>
        <v>0</v>
      </c>
    </row>
    <row r="287" spans="1:11">
      <c r="A287" t="s">
        <v>244</v>
      </c>
      <c r="B287" t="s">
        <v>250</v>
      </c>
      <c r="C287" t="s">
        <v>107</v>
      </c>
      <c r="D287" s="47" t="s">
        <v>1402</v>
      </c>
      <c r="E287" t="s">
        <v>249</v>
      </c>
      <c r="F287" t="s">
        <v>248</v>
      </c>
      <c r="G287" t="s">
        <v>949</v>
      </c>
      <c r="H287" s="62">
        <f>SUMIF(Assistencies!B:B, D287, Assistencies!F:F)</f>
        <v>0</v>
      </c>
      <c r="I287" s="62">
        <f>SUMIF(Assistencies!B:B, D287, Assistencies!H:H)</f>
        <v>0</v>
      </c>
      <c r="J287">
        <f>SUMIF(Assistencies!B:B, D287, Assistencies!I:I)</f>
        <v>0</v>
      </c>
      <c r="K287">
        <f>SUMIF(Assistencies!B:B, D287, Assistencies!J:J)</f>
        <v>0</v>
      </c>
    </row>
    <row r="288" spans="1:11">
      <c r="A288" t="s">
        <v>244</v>
      </c>
      <c r="B288" t="s">
        <v>250</v>
      </c>
      <c r="C288" t="s">
        <v>276</v>
      </c>
      <c r="D288" s="47" t="s">
        <v>1403</v>
      </c>
      <c r="E288" t="s">
        <v>947</v>
      </c>
      <c r="F288" t="s">
        <v>946</v>
      </c>
      <c r="G288" t="s">
        <v>948</v>
      </c>
      <c r="H288" s="62">
        <f>SUMIF(Assistencies!B:B, D288, Assistencies!F:F)</f>
        <v>0</v>
      </c>
      <c r="I288" s="62">
        <f>SUMIF(Assistencies!B:B, D288, Assistencies!H:H)</f>
        <v>0</v>
      </c>
      <c r="J288">
        <f>SUMIF(Assistencies!B:B, D288, Assistencies!I:I)</f>
        <v>0</v>
      </c>
      <c r="K288">
        <f>SUMIF(Assistencies!B:B, D288, Assistencies!J:J)</f>
        <v>0</v>
      </c>
    </row>
    <row r="289" spans="1:11">
      <c r="A289" t="s">
        <v>244</v>
      </c>
      <c r="B289" t="s">
        <v>250</v>
      </c>
      <c r="C289" t="s">
        <v>276</v>
      </c>
      <c r="D289" s="47" t="s">
        <v>1404</v>
      </c>
      <c r="E289" t="s">
        <v>951</v>
      </c>
      <c r="F289" t="s">
        <v>950</v>
      </c>
      <c r="G289" t="s">
        <v>952</v>
      </c>
      <c r="H289" s="62">
        <f>SUMIF(Assistencies!B:B, D289, Assistencies!F:F)</f>
        <v>0</v>
      </c>
      <c r="I289" s="62">
        <f>SUMIF(Assistencies!B:B, D289, Assistencies!H:H)</f>
        <v>0</v>
      </c>
      <c r="J289">
        <f>SUMIF(Assistencies!B:B, D289, Assistencies!I:I)</f>
        <v>0</v>
      </c>
      <c r="K289">
        <f>SUMIF(Assistencies!B:B, D289, Assistencies!J:J)</f>
        <v>0</v>
      </c>
    </row>
    <row r="290" spans="1:11">
      <c r="A290" t="s">
        <v>244</v>
      </c>
      <c r="B290" t="s">
        <v>253</v>
      </c>
      <c r="C290" t="s">
        <v>107</v>
      </c>
      <c r="D290" s="47" t="s">
        <v>1405</v>
      </c>
      <c r="E290" t="s">
        <v>252</v>
      </c>
      <c r="F290" t="s">
        <v>251</v>
      </c>
      <c r="G290" t="s">
        <v>958</v>
      </c>
      <c r="H290" s="62">
        <f>SUMIF(Assistencies!B:B, D290, Assistencies!F:F)</f>
        <v>0</v>
      </c>
      <c r="I290" s="62">
        <f>SUMIF(Assistencies!B:B, D290, Assistencies!H:H)</f>
        <v>0</v>
      </c>
      <c r="J290">
        <f>SUMIF(Assistencies!B:B, D290, Assistencies!I:I)</f>
        <v>0</v>
      </c>
      <c r="K290">
        <f>SUMIF(Assistencies!B:B, D290, Assistencies!J:J)</f>
        <v>0</v>
      </c>
    </row>
    <row r="291" spans="1:11">
      <c r="A291" t="s">
        <v>244</v>
      </c>
      <c r="B291" t="s">
        <v>253</v>
      </c>
      <c r="C291" t="s">
        <v>276</v>
      </c>
      <c r="D291" s="47" t="s">
        <v>1406</v>
      </c>
      <c r="E291" t="s">
        <v>956</v>
      </c>
      <c r="F291" t="s">
        <v>954</v>
      </c>
      <c r="G291" t="s">
        <v>957</v>
      </c>
      <c r="H291" s="62">
        <f>SUMIF(Assistencies!B:B, D291, Assistencies!F:F)</f>
        <v>0</v>
      </c>
      <c r="I291" s="62">
        <f>SUMIF(Assistencies!B:B, D291, Assistencies!H:H)</f>
        <v>0</v>
      </c>
      <c r="J291">
        <f>SUMIF(Assistencies!B:B, D291, Assistencies!I:I)</f>
        <v>0</v>
      </c>
      <c r="K291">
        <f>SUMIF(Assistencies!B:B, D291, Assistencies!J:J)</f>
        <v>0</v>
      </c>
    </row>
    <row r="292" spans="1:11">
      <c r="A292" t="s">
        <v>244</v>
      </c>
      <c r="B292" t="s">
        <v>253</v>
      </c>
      <c r="C292" t="s">
        <v>276</v>
      </c>
      <c r="D292" s="47" t="s">
        <v>1407</v>
      </c>
      <c r="E292" t="s">
        <v>961</v>
      </c>
      <c r="F292" t="s">
        <v>959</v>
      </c>
      <c r="G292" t="s">
        <v>962</v>
      </c>
      <c r="H292" s="62">
        <f>SUMIF(Assistencies!B:B, D292, Assistencies!F:F)</f>
        <v>0</v>
      </c>
      <c r="I292" s="62">
        <f>SUMIF(Assistencies!B:B, D292, Assistencies!H:H)</f>
        <v>0</v>
      </c>
      <c r="J292">
        <f>SUMIF(Assistencies!B:B, D292, Assistencies!I:I)</f>
        <v>0</v>
      </c>
      <c r="K292">
        <f>SUMIF(Assistencies!B:B, D292, Assistencies!J:J)</f>
        <v>0</v>
      </c>
    </row>
    <row r="293" spans="1:11">
      <c r="A293" t="s">
        <v>244</v>
      </c>
      <c r="B293" t="s">
        <v>253</v>
      </c>
      <c r="C293" t="s">
        <v>276</v>
      </c>
      <c r="D293" s="47" t="s">
        <v>1408</v>
      </c>
      <c r="E293" t="s">
        <v>964</v>
      </c>
      <c r="F293" t="s">
        <v>963</v>
      </c>
      <c r="G293" t="s">
        <v>965</v>
      </c>
      <c r="H293" s="62">
        <f>SUMIF(Assistencies!B:B, D293, Assistencies!F:F)</f>
        <v>0</v>
      </c>
      <c r="I293" s="62">
        <f>SUMIF(Assistencies!B:B, D293, Assistencies!H:H)</f>
        <v>0</v>
      </c>
      <c r="J293">
        <f>SUMIF(Assistencies!B:B, D293, Assistencies!I:I)</f>
        <v>0</v>
      </c>
      <c r="K293">
        <f>SUMIF(Assistencies!B:B, D293, Assistencies!J:J)</f>
        <v>0</v>
      </c>
    </row>
    <row r="294" spans="1:11">
      <c r="A294" t="s">
        <v>244</v>
      </c>
      <c r="B294" t="s">
        <v>253</v>
      </c>
      <c r="C294" t="s">
        <v>276</v>
      </c>
      <c r="D294" s="47" t="s">
        <v>1409</v>
      </c>
      <c r="E294" t="s">
        <v>968</v>
      </c>
      <c r="F294" t="s">
        <v>966</v>
      </c>
      <c r="G294" t="s">
        <v>969</v>
      </c>
      <c r="H294" s="62">
        <f>SUMIF(Assistencies!B:B, D294, Assistencies!F:F)</f>
        <v>0</v>
      </c>
      <c r="I294" s="62">
        <f>SUMIF(Assistencies!B:B, D294, Assistencies!H:H)</f>
        <v>0</v>
      </c>
      <c r="J294">
        <f>SUMIF(Assistencies!B:B, D294, Assistencies!I:I)</f>
        <v>0</v>
      </c>
      <c r="K294">
        <f>SUMIF(Assistencies!B:B, D294, Assistencies!J:J)</f>
        <v>0</v>
      </c>
    </row>
    <row r="295" spans="1:11">
      <c r="A295" t="s">
        <v>244</v>
      </c>
      <c r="B295" t="s">
        <v>256</v>
      </c>
      <c r="C295" t="s">
        <v>107</v>
      </c>
      <c r="D295" s="47" t="s">
        <v>1410</v>
      </c>
      <c r="E295" t="s">
        <v>255</v>
      </c>
      <c r="F295" t="s">
        <v>254</v>
      </c>
      <c r="G295" t="s">
        <v>975</v>
      </c>
      <c r="H295" s="62">
        <f>SUMIF(Assistencies!B:B, D295, Assistencies!F:F)</f>
        <v>0</v>
      </c>
      <c r="I295" s="62">
        <f>SUMIF(Assistencies!B:B, D295, Assistencies!H:H)</f>
        <v>0</v>
      </c>
      <c r="J295">
        <f>SUMIF(Assistencies!B:B, D295, Assistencies!I:I)</f>
        <v>0</v>
      </c>
      <c r="K295">
        <f>SUMIF(Assistencies!B:B, D295, Assistencies!J:J)</f>
        <v>0</v>
      </c>
    </row>
    <row r="296" spans="1:11">
      <c r="A296" t="s">
        <v>244</v>
      </c>
      <c r="B296" t="s">
        <v>256</v>
      </c>
      <c r="C296" t="s">
        <v>276</v>
      </c>
      <c r="D296" s="47" t="s">
        <v>1411</v>
      </c>
      <c r="E296" t="s">
        <v>972</v>
      </c>
      <c r="F296" t="s">
        <v>970</v>
      </c>
      <c r="G296" t="s">
        <v>973</v>
      </c>
      <c r="H296" s="62">
        <f>SUMIF(Assistencies!B:B, D296, Assistencies!F:F)</f>
        <v>0</v>
      </c>
      <c r="I296" s="62">
        <f>SUMIF(Assistencies!B:B, D296, Assistencies!H:H)</f>
        <v>0</v>
      </c>
      <c r="J296">
        <f>SUMIF(Assistencies!B:B, D296, Assistencies!I:I)</f>
        <v>0</v>
      </c>
      <c r="K296">
        <f>SUMIF(Assistencies!B:B, D296, Assistencies!J:J)</f>
        <v>0</v>
      </c>
    </row>
    <row r="297" spans="1:11">
      <c r="A297" t="s">
        <v>244</v>
      </c>
      <c r="B297" t="s">
        <v>256</v>
      </c>
      <c r="C297" t="s">
        <v>276</v>
      </c>
      <c r="D297" s="47" t="s">
        <v>1412</v>
      </c>
      <c r="E297" t="s">
        <v>974</v>
      </c>
      <c r="F297" t="s">
        <v>254</v>
      </c>
      <c r="G297" t="s">
        <v>975</v>
      </c>
      <c r="H297" s="62">
        <f>SUMIF(Assistencies!B:B, D297, Assistencies!F:F)</f>
        <v>0</v>
      </c>
      <c r="I297" s="62">
        <f>SUMIF(Assistencies!B:B, D297, Assistencies!H:H)</f>
        <v>0</v>
      </c>
      <c r="J297">
        <f>SUMIF(Assistencies!B:B, D297, Assistencies!I:I)</f>
        <v>0</v>
      </c>
      <c r="K297">
        <f>SUMIF(Assistencies!B:B, D297, Assistencies!J:J)</f>
        <v>0</v>
      </c>
    </row>
    <row r="298" spans="1:11">
      <c r="A298" t="s">
        <v>244</v>
      </c>
      <c r="B298" t="s">
        <v>256</v>
      </c>
      <c r="C298" t="s">
        <v>276</v>
      </c>
      <c r="D298" s="47" t="s">
        <v>1413</v>
      </c>
      <c r="E298" t="s">
        <v>978</v>
      </c>
      <c r="F298" t="s">
        <v>976</v>
      </c>
      <c r="G298" t="s">
        <v>979</v>
      </c>
      <c r="H298" s="62">
        <f>SUMIF(Assistencies!B:B, D298, Assistencies!F:F)</f>
        <v>0</v>
      </c>
      <c r="I298" s="62">
        <f>SUMIF(Assistencies!B:B, D298, Assistencies!H:H)</f>
        <v>0</v>
      </c>
      <c r="J298">
        <f>SUMIF(Assistencies!B:B, D298, Assistencies!I:I)</f>
        <v>0</v>
      </c>
      <c r="K298">
        <f>SUMIF(Assistencies!B:B, D298, Assistencies!J:J)</f>
        <v>0</v>
      </c>
    </row>
    <row r="299" spans="1:11">
      <c r="A299" t="s">
        <v>244</v>
      </c>
      <c r="B299" t="s">
        <v>256</v>
      </c>
      <c r="C299" t="s">
        <v>276</v>
      </c>
      <c r="D299" s="47" t="s">
        <v>1414</v>
      </c>
      <c r="E299" t="s">
        <v>981</v>
      </c>
      <c r="F299" t="s">
        <v>980</v>
      </c>
      <c r="G299" t="s">
        <v>982</v>
      </c>
      <c r="H299" s="62">
        <f>SUMIF(Assistencies!B:B, D299, Assistencies!F:F)</f>
        <v>0</v>
      </c>
      <c r="I299" s="62">
        <f>SUMIF(Assistencies!B:B, D299, Assistencies!H:H)</f>
        <v>0</v>
      </c>
      <c r="J299">
        <f>SUMIF(Assistencies!B:B, D299, Assistencies!I:I)</f>
        <v>0</v>
      </c>
      <c r="K299">
        <f>SUMIF(Assistencies!B:B, D299, Assistencies!J:J)</f>
        <v>0</v>
      </c>
    </row>
    <row r="300" spans="1:11">
      <c r="A300" t="s">
        <v>244</v>
      </c>
      <c r="B300" t="s">
        <v>259</v>
      </c>
      <c r="C300" t="s">
        <v>107</v>
      </c>
      <c r="D300" s="47" t="s">
        <v>1415</v>
      </c>
      <c r="E300" t="s">
        <v>258</v>
      </c>
      <c r="F300" t="s">
        <v>257</v>
      </c>
      <c r="G300" t="s">
        <v>257</v>
      </c>
      <c r="H300" s="62">
        <f>SUMIF(Assistencies!B:B, D300, Assistencies!F:F)</f>
        <v>0</v>
      </c>
      <c r="I300" s="62">
        <f>SUMIF(Assistencies!B:B, D300, Assistencies!H:H)</f>
        <v>0</v>
      </c>
      <c r="J300">
        <f>SUMIF(Assistencies!B:B, D300, Assistencies!I:I)</f>
        <v>0</v>
      </c>
      <c r="K300">
        <f>SUMIF(Assistencies!B:B, D300, Assistencies!J:J)</f>
        <v>0</v>
      </c>
    </row>
    <row r="301" spans="1:11">
      <c r="A301" t="s">
        <v>244</v>
      </c>
      <c r="B301" t="s">
        <v>262</v>
      </c>
      <c r="C301" t="s">
        <v>107</v>
      </c>
      <c r="D301" s="47" t="s">
        <v>1416</v>
      </c>
      <c r="E301" t="s">
        <v>261</v>
      </c>
      <c r="F301" t="s">
        <v>260</v>
      </c>
      <c r="G301" t="s">
        <v>953</v>
      </c>
      <c r="H301" s="62">
        <f>SUMIF(Assistencies!B:B, D301, Assistencies!F:F)</f>
        <v>0</v>
      </c>
      <c r="I301" s="62">
        <f>SUMIF(Assistencies!B:B, D301, Assistencies!H:H)</f>
        <v>0</v>
      </c>
      <c r="J301">
        <f>SUMIF(Assistencies!B:B, D301, Assistencies!I:I)</f>
        <v>0</v>
      </c>
      <c r="K301">
        <f>SUMIF(Assistencies!B:B, D301, Assistencies!J:J)</f>
        <v>0</v>
      </c>
    </row>
    <row r="302" spans="1:11">
      <c r="A302" t="s">
        <v>244</v>
      </c>
      <c r="B302" t="s">
        <v>1107</v>
      </c>
      <c r="C302" t="s">
        <v>107</v>
      </c>
      <c r="D302" s="47" t="s">
        <v>1417</v>
      </c>
      <c r="E302" t="s">
        <v>11</v>
      </c>
      <c r="F302" s="33" t="s">
        <v>8</v>
      </c>
      <c r="G302" t="s">
        <v>12</v>
      </c>
      <c r="H302" s="62">
        <f>SUMIF(Assistencies!B:B, D302, Assistencies!F:F)</f>
        <v>0</v>
      </c>
      <c r="I302" s="62">
        <f>SUMIF(Assistencies!B:B, D302, Assistencies!H:H)</f>
        <v>0</v>
      </c>
      <c r="J302">
        <f>SUMIF(Assistencies!B:B, D302, Assistencies!I:I)</f>
        <v>0</v>
      </c>
      <c r="K302">
        <f>SUMIF(Assistencies!B:B, D302, Assistencies!J:J)</f>
        <v>0</v>
      </c>
    </row>
    <row r="303" spans="1:11">
      <c r="A303" t="s">
        <v>244</v>
      </c>
      <c r="B303" t="s">
        <v>1107</v>
      </c>
      <c r="C303" t="s">
        <v>276</v>
      </c>
      <c r="D303" s="47" t="s">
        <v>1418</v>
      </c>
      <c r="E303" t="s">
        <v>1419</v>
      </c>
      <c r="F303" s="33" t="s">
        <v>8</v>
      </c>
      <c r="G303" s="33" t="s">
        <v>8</v>
      </c>
      <c r="H303" s="62">
        <f>SUMIF(Assistencies!B:B, D303, Assistencies!F:F)</f>
        <v>0</v>
      </c>
      <c r="I303" s="62">
        <f>SUMIF(Assistencies!B:B, D303, Assistencies!H:H)</f>
        <v>0</v>
      </c>
      <c r="J303">
        <f>SUMIF(Assistencies!B:B, D303, Assistencies!I:I)</f>
        <v>0</v>
      </c>
      <c r="K303">
        <f>SUMIF(Assistencies!B:B, D303, Assistencies!J:J)</f>
        <v>0</v>
      </c>
    </row>
    <row r="304" spans="1:11">
      <c r="A304" t="s">
        <v>244</v>
      </c>
      <c r="B304" t="s">
        <v>1107</v>
      </c>
      <c r="C304" t="s">
        <v>276</v>
      </c>
      <c r="D304" s="47" t="s">
        <v>1420</v>
      </c>
      <c r="E304" t="s">
        <v>1421</v>
      </c>
      <c r="F304" s="33" t="s">
        <v>8</v>
      </c>
      <c r="G304" s="33" t="s">
        <v>8</v>
      </c>
      <c r="H304" s="62">
        <f>SUMIF(Assistencies!B:B, D304, Assistencies!F:F)</f>
        <v>0</v>
      </c>
      <c r="I304" s="62">
        <f>SUMIF(Assistencies!B:B, D304, Assistencies!H:H)</f>
        <v>0</v>
      </c>
      <c r="J304">
        <f>SUMIF(Assistencies!B:B, D304, Assistencies!I:I)</f>
        <v>0</v>
      </c>
      <c r="K304">
        <f>SUMIF(Assistencies!B:B, D304, Assistencies!J:J)</f>
        <v>0</v>
      </c>
    </row>
    <row r="305" spans="1:11">
      <c r="A305" t="s">
        <v>244</v>
      </c>
      <c r="B305" t="s">
        <v>1107</v>
      </c>
      <c r="C305" t="s">
        <v>276</v>
      </c>
      <c r="D305" s="47" t="s">
        <v>1422</v>
      </c>
      <c r="E305" t="s">
        <v>1423</v>
      </c>
      <c r="F305" s="33" t="s">
        <v>8</v>
      </c>
      <c r="G305" s="33" t="s">
        <v>8</v>
      </c>
      <c r="H305" s="62">
        <f>SUMIF(Assistencies!B:B, D305, Assistencies!F:F)</f>
        <v>0</v>
      </c>
      <c r="I305" s="62">
        <f>SUMIF(Assistencies!B:B, D305, Assistencies!H:H)</f>
        <v>0</v>
      </c>
      <c r="J305">
        <f>SUMIF(Assistencies!B:B, D305, Assistencies!I:I)</f>
        <v>0</v>
      </c>
      <c r="K305">
        <f>SUMIF(Assistencies!B:B, D305, Assistencies!J:J)</f>
        <v>0</v>
      </c>
    </row>
    <row r="306" spans="1:11">
      <c r="A306" t="s">
        <v>244</v>
      </c>
      <c r="B306" t="s">
        <v>1107</v>
      </c>
      <c r="C306" t="s">
        <v>276</v>
      </c>
      <c r="D306" s="47" t="s">
        <v>1424</v>
      </c>
      <c r="E306" t="s">
        <v>1425</v>
      </c>
      <c r="F306" s="33" t="s">
        <v>8</v>
      </c>
      <c r="G306" s="33" t="s">
        <v>8</v>
      </c>
      <c r="H306" s="62">
        <f>SUMIF(Assistencies!B:B, D306, Assistencies!F:F)</f>
        <v>0</v>
      </c>
      <c r="I306" s="62">
        <f>SUMIF(Assistencies!B:B, D306, Assistencies!H:H)</f>
        <v>0</v>
      </c>
      <c r="J306">
        <f>SUMIF(Assistencies!B:B, D306, Assistencies!I:I)</f>
        <v>0</v>
      </c>
      <c r="K306">
        <f>SUMIF(Assistencies!B:B, D306, Assistencies!J:J)</f>
        <v>0</v>
      </c>
    </row>
    <row r="307" spans="1:11">
      <c r="A307" t="s">
        <v>244</v>
      </c>
      <c r="B307" t="s">
        <v>1107</v>
      </c>
      <c r="C307" t="s">
        <v>276</v>
      </c>
      <c r="D307" s="47" t="s">
        <v>1426</v>
      </c>
      <c r="E307" t="s">
        <v>1427</v>
      </c>
      <c r="F307" s="33" t="s">
        <v>8</v>
      </c>
      <c r="G307" s="33" t="s">
        <v>8</v>
      </c>
      <c r="H307" s="62">
        <f>SUMIF(Assistencies!B:B, D307, Assistencies!F:F)</f>
        <v>0</v>
      </c>
      <c r="I307" s="62">
        <f>SUMIF(Assistencies!B:B, D307, Assistencies!H:H)</f>
        <v>0</v>
      </c>
      <c r="J307">
        <f>SUMIF(Assistencies!B:B, D307, Assistencies!I:I)</f>
        <v>0</v>
      </c>
      <c r="K307">
        <f>SUMIF(Assistencies!B:B, D307, Assistencies!J:J)</f>
        <v>0</v>
      </c>
    </row>
    <row r="308" spans="1:11">
      <c r="A308" t="s">
        <v>244</v>
      </c>
      <c r="B308" t="s">
        <v>1107</v>
      </c>
      <c r="C308" t="s">
        <v>276</v>
      </c>
      <c r="D308" s="47" t="s">
        <v>1428</v>
      </c>
      <c r="E308" t="s">
        <v>1429</v>
      </c>
      <c r="F308" s="33" t="s">
        <v>8</v>
      </c>
      <c r="G308" s="33" t="s">
        <v>8</v>
      </c>
      <c r="H308" s="62">
        <f>SUMIF(Assistencies!B:B, D308, Assistencies!F:F)</f>
        <v>0</v>
      </c>
      <c r="I308" s="62">
        <f>SUMIF(Assistencies!B:B, D308, Assistencies!H:H)</f>
        <v>0</v>
      </c>
      <c r="J308">
        <f>SUMIF(Assistencies!B:B, D308, Assistencies!I:I)</f>
        <v>0</v>
      </c>
      <c r="K308">
        <f>SUMIF(Assistencies!B:B, D308, Assistencies!J:J)</f>
        <v>0</v>
      </c>
    </row>
    <row r="309" spans="1:11">
      <c r="A309" t="s">
        <v>244</v>
      </c>
      <c r="B309" t="s">
        <v>1107</v>
      </c>
      <c r="C309" t="s">
        <v>276</v>
      </c>
      <c r="D309" s="47" t="s">
        <v>1430</v>
      </c>
      <c r="E309" t="s">
        <v>1431</v>
      </c>
      <c r="F309" s="33" t="s">
        <v>8</v>
      </c>
      <c r="G309" s="33" t="s">
        <v>8</v>
      </c>
      <c r="H309" s="62">
        <f>SUMIF(Assistencies!B:B, D309, Assistencies!F:F)</f>
        <v>0</v>
      </c>
      <c r="I309" s="62">
        <f>SUMIF(Assistencies!B:B, D309, Assistencies!H:H)</f>
        <v>0</v>
      </c>
      <c r="J309">
        <f>SUMIF(Assistencies!B:B, D309, Assistencies!I:I)</f>
        <v>0</v>
      </c>
      <c r="K309">
        <f>SUMIF(Assistencies!B:B, D309, Assistencies!J:J)</f>
        <v>0</v>
      </c>
    </row>
    <row r="310" spans="1:11">
      <c r="A310" t="s">
        <v>244</v>
      </c>
      <c r="B310" t="s">
        <v>986</v>
      </c>
      <c r="C310" t="s">
        <v>276</v>
      </c>
      <c r="D310" s="47" t="s">
        <v>1432</v>
      </c>
      <c r="E310" t="s">
        <v>984</v>
      </c>
      <c r="F310" t="s">
        <v>983</v>
      </c>
      <c r="G310" t="s">
        <v>985</v>
      </c>
      <c r="H310" s="62">
        <f>SUMIF(Assistencies!B:B, D310, Assistencies!F:F)</f>
        <v>0</v>
      </c>
      <c r="I310" s="62">
        <f>SUMIF(Assistencies!B:B, D310, Assistencies!H:H)</f>
        <v>0</v>
      </c>
      <c r="J310">
        <f>SUMIF(Assistencies!B:B, D310, Assistencies!I:I)</f>
        <v>0</v>
      </c>
      <c r="K310">
        <f>SUMIF(Assistencies!B:B, D310, Assistencies!J:J)</f>
        <v>0</v>
      </c>
    </row>
    <row r="311" spans="1:11">
      <c r="A311" t="s">
        <v>244</v>
      </c>
      <c r="B311" t="s">
        <v>263</v>
      </c>
      <c r="C311" t="s">
        <v>107</v>
      </c>
      <c r="D311" s="47" t="s">
        <v>1433</v>
      </c>
      <c r="E311" t="s">
        <v>989</v>
      </c>
      <c r="F311" t="s">
        <v>987</v>
      </c>
      <c r="G311" t="s">
        <v>990</v>
      </c>
      <c r="H311" s="62">
        <f>SUMIF(Assistencies!B:B, D311, Assistencies!F:F)</f>
        <v>0</v>
      </c>
      <c r="I311" s="62">
        <f>SUMIF(Assistencies!B:B, D311, Assistencies!H:H)</f>
        <v>0</v>
      </c>
      <c r="J311">
        <f>SUMIF(Assistencies!B:B, D311, Assistencies!I:I)</f>
        <v>0</v>
      </c>
      <c r="K311">
        <f>SUMIF(Assistencies!B:B, D311, Assistencies!J:J)</f>
        <v>0</v>
      </c>
    </row>
    <row r="312" spans="1:11">
      <c r="A312" t="s">
        <v>244</v>
      </c>
      <c r="B312" t="s">
        <v>263</v>
      </c>
      <c r="C312" t="s">
        <v>276</v>
      </c>
      <c r="D312" s="47" t="s">
        <v>1434</v>
      </c>
      <c r="E312" t="s">
        <v>993</v>
      </c>
      <c r="F312" t="s">
        <v>991</v>
      </c>
      <c r="G312" t="s">
        <v>994</v>
      </c>
      <c r="H312" s="62">
        <f>SUMIF(Assistencies!B:B, D312, Assistencies!F:F)</f>
        <v>0</v>
      </c>
      <c r="I312" s="62">
        <f>SUMIF(Assistencies!B:B, D312, Assistencies!H:H)</f>
        <v>0</v>
      </c>
      <c r="J312">
        <f>SUMIF(Assistencies!B:B, D312, Assistencies!I:I)</f>
        <v>0</v>
      </c>
      <c r="K312">
        <f>SUMIF(Assistencies!B:B, D312, Assistencies!J:J)</f>
        <v>0</v>
      </c>
    </row>
    <row r="313" spans="1:11">
      <c r="A313" t="s">
        <v>244</v>
      </c>
      <c r="B313" t="s">
        <v>263</v>
      </c>
      <c r="C313" t="s">
        <v>276</v>
      </c>
      <c r="D313" s="47" t="s">
        <v>1435</v>
      </c>
      <c r="E313" t="s">
        <v>997</v>
      </c>
      <c r="F313" t="s">
        <v>995</v>
      </c>
      <c r="G313" t="s">
        <v>998</v>
      </c>
      <c r="H313" s="62">
        <f>SUMIF(Assistencies!B:B, D313, Assistencies!F:F)</f>
        <v>0</v>
      </c>
      <c r="I313" s="62">
        <f>SUMIF(Assistencies!B:B, D313, Assistencies!H:H)</f>
        <v>0</v>
      </c>
      <c r="J313">
        <f>SUMIF(Assistencies!B:B, D313, Assistencies!I:I)</f>
        <v>0</v>
      </c>
      <c r="K313">
        <f>SUMIF(Assistencies!B:B, D313, Assistencies!J:J)</f>
        <v>0</v>
      </c>
    </row>
    <row r="314" spans="1:11">
      <c r="A314" t="s">
        <v>244</v>
      </c>
      <c r="B314" t="s">
        <v>263</v>
      </c>
      <c r="C314" t="s">
        <v>276</v>
      </c>
      <c r="D314" s="47" t="s">
        <v>1436</v>
      </c>
      <c r="E314" t="s">
        <v>1000</v>
      </c>
      <c r="F314" t="s">
        <v>999</v>
      </c>
      <c r="G314" t="s">
        <v>1001</v>
      </c>
      <c r="H314" s="62">
        <f>SUMIF(Assistencies!B:B, D314, Assistencies!F:F)</f>
        <v>0</v>
      </c>
      <c r="I314" s="62">
        <f>SUMIF(Assistencies!B:B, D314, Assistencies!H:H)</f>
        <v>0</v>
      </c>
      <c r="J314">
        <f>SUMIF(Assistencies!B:B, D314, Assistencies!I:I)</f>
        <v>0</v>
      </c>
      <c r="K314">
        <f>SUMIF(Assistencies!B:B, D314, Assistencies!J:J)</f>
        <v>0</v>
      </c>
    </row>
    <row r="315" spans="1:11">
      <c r="A315" t="s">
        <v>244</v>
      </c>
      <c r="B315" t="s">
        <v>263</v>
      </c>
      <c r="C315" t="s">
        <v>276</v>
      </c>
      <c r="D315" s="47" t="s">
        <v>1437</v>
      </c>
      <c r="E315" t="s">
        <v>1003</v>
      </c>
      <c r="F315" t="s">
        <v>1002</v>
      </c>
      <c r="G315" t="s">
        <v>1004</v>
      </c>
      <c r="H315" s="62">
        <f>SUMIF(Assistencies!B:B, D315, Assistencies!F:F)</f>
        <v>0</v>
      </c>
      <c r="I315" s="62">
        <f>SUMIF(Assistencies!B:B, D315, Assistencies!H:H)</f>
        <v>0</v>
      </c>
      <c r="J315">
        <f>SUMIF(Assistencies!B:B, D315, Assistencies!I:I)</f>
        <v>0</v>
      </c>
      <c r="K315">
        <f>SUMIF(Assistencies!B:B, D315, Assistencies!J:J)</f>
        <v>0</v>
      </c>
    </row>
    <row r="316" spans="1:11">
      <c r="A316" t="s">
        <v>244</v>
      </c>
      <c r="B316" t="s">
        <v>263</v>
      </c>
      <c r="C316" t="s">
        <v>276</v>
      </c>
      <c r="D316" s="47" t="s">
        <v>1438</v>
      </c>
      <c r="E316" t="s">
        <v>1006</v>
      </c>
      <c r="F316" t="s">
        <v>1005</v>
      </c>
      <c r="G316" t="s">
        <v>1007</v>
      </c>
      <c r="H316" s="62">
        <f>SUMIF(Assistencies!B:B, D316, Assistencies!F:F)</f>
        <v>0</v>
      </c>
      <c r="I316" s="62">
        <f>SUMIF(Assistencies!B:B, D316, Assistencies!H:H)</f>
        <v>0</v>
      </c>
      <c r="J316">
        <f>SUMIF(Assistencies!B:B, D316, Assistencies!I:I)</f>
        <v>0</v>
      </c>
      <c r="K316">
        <f>SUMIF(Assistencies!B:B, D316, Assistencies!J:J)</f>
        <v>0</v>
      </c>
    </row>
    <row r="317" spans="1:11">
      <c r="A317" t="s">
        <v>244</v>
      </c>
      <c r="B317" t="s">
        <v>263</v>
      </c>
      <c r="C317" t="s">
        <v>276</v>
      </c>
      <c r="D317" s="47" t="s">
        <v>1439</v>
      </c>
      <c r="E317" t="s">
        <v>732</v>
      </c>
      <c r="F317" t="s">
        <v>731</v>
      </c>
      <c r="G317" t="s">
        <v>731</v>
      </c>
      <c r="H317" s="62">
        <f>SUMIF(Assistencies!B:B, D317, Assistencies!F:F)</f>
        <v>0</v>
      </c>
      <c r="I317" s="62">
        <f>SUMIF(Assistencies!B:B, D317, Assistencies!H:H)</f>
        <v>0</v>
      </c>
      <c r="J317">
        <f>SUMIF(Assistencies!B:B, D317, Assistencies!I:I)</f>
        <v>0</v>
      </c>
      <c r="K317">
        <f>SUMIF(Assistencies!B:B, D317, Assistencies!J:J)</f>
        <v>0</v>
      </c>
    </row>
    <row r="318" spans="1:11">
      <c r="A318" t="s">
        <v>244</v>
      </c>
      <c r="B318" t="s">
        <v>266</v>
      </c>
      <c r="C318" t="s">
        <v>107</v>
      </c>
      <c r="D318" s="47" t="s">
        <v>1440</v>
      </c>
      <c r="E318" t="s">
        <v>265</v>
      </c>
      <c r="F318" t="s">
        <v>264</v>
      </c>
      <c r="G318" t="s">
        <v>1019</v>
      </c>
      <c r="H318" s="62">
        <f>SUMIF(Assistencies!B:B, D318, Assistencies!F:F)</f>
        <v>0</v>
      </c>
      <c r="I318" s="62">
        <f>SUMIF(Assistencies!B:B, D318, Assistencies!H:H)</f>
        <v>0</v>
      </c>
      <c r="J318">
        <f>SUMIF(Assistencies!B:B, D318, Assistencies!I:I)</f>
        <v>0</v>
      </c>
      <c r="K318">
        <f>SUMIF(Assistencies!B:B, D318, Assistencies!J:J)</f>
        <v>0</v>
      </c>
    </row>
    <row r="319" spans="1:11">
      <c r="A319" t="s">
        <v>244</v>
      </c>
      <c r="B319" t="s">
        <v>1027</v>
      </c>
      <c r="C319" t="s">
        <v>276</v>
      </c>
      <c r="D319" s="47" t="s">
        <v>1441</v>
      </c>
      <c r="E319" t="s">
        <v>1025</v>
      </c>
      <c r="F319" t="s">
        <v>1023</v>
      </c>
      <c r="G319" t="s">
        <v>1026</v>
      </c>
      <c r="H319" s="62">
        <f>SUMIF(Assistencies!B:B, D319, Assistencies!F:F)</f>
        <v>0</v>
      </c>
      <c r="I319" s="62">
        <f>SUMIF(Assistencies!B:B, D319, Assistencies!H:H)</f>
        <v>0</v>
      </c>
      <c r="J319">
        <f>SUMIF(Assistencies!B:B, D319, Assistencies!I:I)</f>
        <v>0</v>
      </c>
      <c r="K319">
        <f>SUMIF(Assistencies!B:B, D319, Assistencies!J:J)</f>
        <v>0</v>
      </c>
    </row>
    <row r="320" spans="1:11">
      <c r="A320" t="s">
        <v>244</v>
      </c>
      <c r="B320" t="s">
        <v>266</v>
      </c>
      <c r="C320" t="s">
        <v>276</v>
      </c>
      <c r="D320" s="47" t="s">
        <v>1442</v>
      </c>
      <c r="E320" t="s">
        <v>1018</v>
      </c>
      <c r="F320" t="s">
        <v>264</v>
      </c>
      <c r="G320" t="s">
        <v>1019</v>
      </c>
      <c r="H320" s="62">
        <f>SUMIF(Assistencies!B:B, D320, Assistencies!F:F)</f>
        <v>0</v>
      </c>
      <c r="I320" s="62">
        <f>SUMIF(Assistencies!B:B, D320, Assistencies!H:H)</f>
        <v>0</v>
      </c>
      <c r="J320">
        <f>SUMIF(Assistencies!B:B, D320, Assistencies!I:I)</f>
        <v>0</v>
      </c>
      <c r="K320">
        <f>SUMIF(Assistencies!B:B, D320, Assistencies!J:J)</f>
        <v>0</v>
      </c>
    </row>
    <row r="321" spans="1:11">
      <c r="A321" t="s">
        <v>244</v>
      </c>
      <c r="B321" t="s">
        <v>266</v>
      </c>
      <c r="C321" t="s">
        <v>276</v>
      </c>
      <c r="D321" s="47" t="s">
        <v>1443</v>
      </c>
      <c r="E321" t="s">
        <v>1021</v>
      </c>
      <c r="F321" t="s">
        <v>1020</v>
      </c>
      <c r="G321" t="s">
        <v>1022</v>
      </c>
      <c r="H321" s="62">
        <f>SUMIF(Assistencies!B:B, D321, Assistencies!F:F)</f>
        <v>0</v>
      </c>
      <c r="I321" s="62">
        <f>SUMIF(Assistencies!B:B, D321, Assistencies!H:H)</f>
        <v>0</v>
      </c>
      <c r="J321">
        <f>SUMIF(Assistencies!B:B, D321, Assistencies!I:I)</f>
        <v>0</v>
      </c>
      <c r="K321">
        <f>SUMIF(Assistencies!B:B, D321, Assistencies!J:J)</f>
        <v>0</v>
      </c>
    </row>
    <row r="322" spans="1:11">
      <c r="A322" t="s">
        <v>244</v>
      </c>
      <c r="B322" t="s">
        <v>269</v>
      </c>
      <c r="C322" t="s">
        <v>107</v>
      </c>
      <c r="D322" s="47" t="s">
        <v>1444</v>
      </c>
      <c r="E322" t="s">
        <v>268</v>
      </c>
      <c r="F322" t="s">
        <v>267</v>
      </c>
      <c r="G322" t="s">
        <v>1008</v>
      </c>
      <c r="H322" s="62">
        <f>SUMIF(Assistencies!B:B, D322, Assistencies!F:F)</f>
        <v>0</v>
      </c>
      <c r="I322" s="62">
        <f>SUMIF(Assistencies!B:B, D322, Assistencies!H:H)</f>
        <v>0</v>
      </c>
      <c r="J322">
        <f>SUMIF(Assistencies!B:B, D322, Assistencies!I:I)</f>
        <v>0</v>
      </c>
      <c r="K322">
        <f>SUMIF(Assistencies!B:B, D322, Assistencies!J:J)</f>
        <v>0</v>
      </c>
    </row>
    <row r="323" spans="1:11">
      <c r="A323" t="s">
        <v>244</v>
      </c>
      <c r="B323" t="s">
        <v>269</v>
      </c>
      <c r="C323" t="s">
        <v>276</v>
      </c>
      <c r="D323" s="47" t="s">
        <v>1445</v>
      </c>
      <c r="E323" t="s">
        <v>1010</v>
      </c>
      <c r="F323" t="s">
        <v>1009</v>
      </c>
      <c r="G323" t="s">
        <v>1009</v>
      </c>
      <c r="H323" s="62">
        <f>SUMIF(Assistencies!B:B, D323, Assistencies!F:F)</f>
        <v>0</v>
      </c>
      <c r="I323" s="62">
        <f>SUMIF(Assistencies!B:B, D323, Assistencies!H:H)</f>
        <v>0</v>
      </c>
      <c r="J323">
        <f>SUMIF(Assistencies!B:B, D323, Assistencies!I:I)</f>
        <v>0</v>
      </c>
      <c r="K323">
        <f>SUMIF(Assistencies!B:B, D323, Assistencies!J:J)</f>
        <v>0</v>
      </c>
    </row>
    <row r="324" spans="1:11">
      <c r="A324" t="s">
        <v>244</v>
      </c>
      <c r="B324" t="s">
        <v>269</v>
      </c>
      <c r="C324" t="s">
        <v>276</v>
      </c>
      <c r="D324" s="47" t="s">
        <v>1446</v>
      </c>
      <c r="E324" t="s">
        <v>1013</v>
      </c>
      <c r="F324" t="s">
        <v>1011</v>
      </c>
      <c r="G324" t="s">
        <v>1014</v>
      </c>
      <c r="H324" s="62">
        <f>SUMIF(Assistencies!B:B, D324, Assistencies!F:F)</f>
        <v>0</v>
      </c>
      <c r="I324" s="62">
        <f>SUMIF(Assistencies!B:B, D324, Assistencies!H:H)</f>
        <v>0</v>
      </c>
      <c r="J324">
        <f>SUMIF(Assistencies!B:B, D324, Assistencies!I:I)</f>
        <v>0</v>
      </c>
      <c r="K324">
        <f>SUMIF(Assistencies!B:B, D324, Assistencies!J:J)</f>
        <v>0</v>
      </c>
    </row>
    <row r="325" spans="1:11">
      <c r="A325" t="s">
        <v>244</v>
      </c>
      <c r="B325" t="s">
        <v>269</v>
      </c>
      <c r="C325" t="s">
        <v>276</v>
      </c>
      <c r="D325" s="47" t="s">
        <v>1447</v>
      </c>
      <c r="E325" t="s">
        <v>1016</v>
      </c>
      <c r="F325" t="s">
        <v>1015</v>
      </c>
      <c r="G325" t="s">
        <v>1017</v>
      </c>
      <c r="H325" s="62">
        <f>SUMIF(Assistencies!B:B, D325, Assistencies!F:F)</f>
        <v>0</v>
      </c>
      <c r="I325" s="62">
        <f>SUMIF(Assistencies!B:B, D325, Assistencies!H:H)</f>
        <v>0</v>
      </c>
      <c r="J325">
        <f>SUMIF(Assistencies!B:B, D325, Assistencies!I:I)</f>
        <v>0</v>
      </c>
      <c r="K325">
        <f>SUMIF(Assistencies!B:B, D325, Assistencies!J:J)</f>
        <v>0</v>
      </c>
    </row>
  </sheetData>
  <dataValidations count="1">
    <dataValidation type="list" allowBlank="1" showInputMessage="1" showErrorMessage="1" sqref="C2:C325" xr:uid="{00000000-0002-0000-0400-000000000000}">
      <formula1>"Delegat/a,Jugador/a"</formula1>
    </dataValidation>
  </dataValidations>
  <hyperlinks>
    <hyperlink ref="F302" r:id="rId1" xr:uid="{00000000-0004-0000-0400-000000000000}"/>
    <hyperlink ref="F319" r:id="rId2" display="1102230@uab.cat" xr:uid="{00000000-0004-0000-0400-000001000000}"/>
    <hyperlink ref="G319" r:id="rId3" display="1102230@uab.cat" xr:uid="{00000000-0004-0000-0400-000002000000}"/>
    <hyperlink ref="F320" r:id="rId4" display="1102230@uab.cat" xr:uid="{00000000-0004-0000-0400-000003000000}"/>
    <hyperlink ref="G320" r:id="rId5" display="1102230@uab.cat" xr:uid="{00000000-0004-0000-0400-000004000000}"/>
    <hyperlink ref="F321" r:id="rId6" display="1102230@uab.cat" xr:uid="{00000000-0004-0000-0400-000005000000}"/>
    <hyperlink ref="G321" r:id="rId7" display="1102230@uab.cat" xr:uid="{00000000-0004-0000-0400-000006000000}"/>
    <hyperlink ref="F322" r:id="rId8" display="1102230@uab.cat" xr:uid="{00000000-0004-0000-0400-000007000000}"/>
    <hyperlink ref="G322" r:id="rId9" display="1102230@uab.cat" xr:uid="{00000000-0004-0000-0400-000008000000}"/>
    <hyperlink ref="F323" r:id="rId10" display="1102230@uab.cat" xr:uid="{00000000-0004-0000-0400-000009000000}"/>
    <hyperlink ref="G323" r:id="rId11" display="1102230@uab.cat" xr:uid="{00000000-0004-0000-0400-00000A000000}"/>
    <hyperlink ref="F324" r:id="rId12" display="1102230@uab.cat" xr:uid="{00000000-0004-0000-0400-00000B000000}"/>
    <hyperlink ref="G324" r:id="rId13" display="1102230@uab.cat" xr:uid="{00000000-0004-0000-0400-00000C000000}"/>
    <hyperlink ref="F325" r:id="rId14" display="1102230@uab.cat" xr:uid="{00000000-0004-0000-0400-00000D000000}"/>
    <hyperlink ref="G325" r:id="rId15" display="1102230@uab.cat" xr:uid="{00000000-0004-0000-0400-00000E000000}"/>
  </hyperlinks>
  <pageMargins left="0.7" right="0.7" top="0.75" bottom="0.75" header="0.3" footer="0.3"/>
  <tableParts count="1">
    <tablePart r:id="rId16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16"/>
  <dimension ref="A1:J2"/>
  <sheetViews>
    <sheetView workbookViewId="0">
      <selection activeCell="A2" sqref="A2:H2"/>
    </sheetView>
  </sheetViews>
  <sheetFormatPr baseColWidth="10" defaultRowHeight="15"/>
  <cols>
    <col min="1" max="1" width="8.42578125" customWidth="1"/>
    <col min="2" max="3" width="14" bestFit="1" customWidth="1"/>
    <col min="4" max="4" width="27" bestFit="1" customWidth="1"/>
    <col min="5" max="5" width="29.140625" customWidth="1"/>
    <col min="6" max="6" width="9.5703125" customWidth="1"/>
    <col min="7" max="7" width="15.7109375" bestFit="1" customWidth="1"/>
  </cols>
  <sheetData>
    <row r="1" spans="1:10" ht="25.5" customHeight="1">
      <c r="A1" s="63" t="s">
        <v>1448</v>
      </c>
      <c r="B1" s="63" t="s">
        <v>1111</v>
      </c>
      <c r="C1" s="63" t="s">
        <v>1449</v>
      </c>
      <c r="D1" s="63" t="s">
        <v>7</v>
      </c>
      <c r="E1" s="63" t="s">
        <v>1450</v>
      </c>
      <c r="F1" s="63" t="s">
        <v>1451</v>
      </c>
      <c r="G1" s="63" t="s">
        <v>1452</v>
      </c>
      <c r="H1" s="63" t="s">
        <v>1842</v>
      </c>
      <c r="I1" s="63" t="s">
        <v>1969</v>
      </c>
      <c r="J1" s="63" t="s">
        <v>1970</v>
      </c>
    </row>
    <row r="2" spans="1:10">
      <c r="B2" s="70"/>
      <c r="C2" s="69"/>
      <c r="D2" s="68"/>
      <c r="E2" s="69"/>
      <c r="F2" s="70"/>
    </row>
  </sheetData>
  <pageMargins left="0.7" right="0.7" top="0.75" bottom="0.75" header="0.3" footer="0.3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2"/>
  <dimension ref="A1:N85"/>
  <sheetViews>
    <sheetView workbookViewId="0">
      <selection activeCell="A2" sqref="A2"/>
    </sheetView>
  </sheetViews>
  <sheetFormatPr baseColWidth="10" defaultColWidth="9.140625" defaultRowHeight="15"/>
  <cols>
    <col min="1" max="1" width="37.5703125" customWidth="1"/>
    <col min="2" max="2" width="36.85546875" customWidth="1"/>
    <col min="3" max="4" width="12" customWidth="1"/>
    <col min="5" max="5" width="14" customWidth="1"/>
    <col min="6" max="8" width="12" customWidth="1"/>
    <col min="9" max="9" width="20" customWidth="1"/>
    <col min="10" max="10" width="14" customWidth="1"/>
  </cols>
  <sheetData>
    <row r="1" spans="1:14" ht="24.95" customHeight="1">
      <c r="A1" s="3" t="s">
        <v>1450</v>
      </c>
      <c r="B1" s="3" t="s">
        <v>1456</v>
      </c>
      <c r="C1" s="3" t="s">
        <v>1457</v>
      </c>
      <c r="D1" s="3" t="s">
        <v>1458</v>
      </c>
      <c r="E1" s="3" t="s">
        <v>1459</v>
      </c>
      <c r="F1" s="3" t="s">
        <v>1460</v>
      </c>
      <c r="G1" s="3" t="s">
        <v>1461</v>
      </c>
      <c r="H1" s="3" t="s">
        <v>1462</v>
      </c>
      <c r="I1" s="3" t="s">
        <v>1463</v>
      </c>
      <c r="J1" s="3" t="s">
        <v>1464</v>
      </c>
      <c r="K1" s="3" t="s">
        <v>1465</v>
      </c>
      <c r="N1" s="59"/>
    </row>
    <row r="2" spans="1:14" ht="25.15" customHeight="1">
      <c r="A2" s="55" t="s">
        <v>119</v>
      </c>
      <c r="B2" s="22" t="s">
        <v>120</v>
      </c>
      <c r="C2" s="4" t="s">
        <v>1466</v>
      </c>
      <c r="D2" s="4">
        <v>4</v>
      </c>
      <c r="E2" s="58">
        <v>46336</v>
      </c>
      <c r="F2" s="4" t="s">
        <v>1467</v>
      </c>
      <c r="G2" s="5" t="s">
        <v>1468</v>
      </c>
      <c r="H2" s="4" t="s">
        <v>1469</v>
      </c>
      <c r="I2" s="55" t="s">
        <v>117</v>
      </c>
      <c r="J2" s="19">
        <v>46276</v>
      </c>
      <c r="K2" s="60">
        <v>1</v>
      </c>
    </row>
    <row r="3" spans="1:14" ht="25.15" customHeight="1">
      <c r="A3" s="55" t="s">
        <v>123</v>
      </c>
      <c r="B3" s="20" t="s">
        <v>120</v>
      </c>
      <c r="C3" s="5" t="s">
        <v>1470</v>
      </c>
      <c r="D3" s="4">
        <v>4</v>
      </c>
      <c r="E3" s="58">
        <v>46336</v>
      </c>
      <c r="F3" s="4" t="s">
        <v>1467</v>
      </c>
      <c r="G3" s="5" t="s">
        <v>1468</v>
      </c>
      <c r="H3" s="4" t="s">
        <v>1469</v>
      </c>
      <c r="I3" s="55" t="s">
        <v>121</v>
      </c>
      <c r="J3" s="19">
        <v>46289</v>
      </c>
      <c r="K3" s="60"/>
    </row>
    <row r="4" spans="1:14" ht="25.15" customHeight="1">
      <c r="A4" s="55" t="s">
        <v>126</v>
      </c>
      <c r="B4" s="20" t="s">
        <v>120</v>
      </c>
      <c r="C4" s="4" t="s">
        <v>1471</v>
      </c>
      <c r="D4" s="4">
        <v>4</v>
      </c>
      <c r="E4" s="58">
        <v>46336</v>
      </c>
      <c r="F4" s="4" t="s">
        <v>1467</v>
      </c>
      <c r="G4" s="5" t="s">
        <v>1468</v>
      </c>
      <c r="H4" s="4" t="s">
        <v>1469</v>
      </c>
      <c r="I4" s="55" t="s">
        <v>124</v>
      </c>
      <c r="J4" s="19">
        <v>46337</v>
      </c>
      <c r="K4" s="60"/>
    </row>
    <row r="5" spans="1:14" ht="25.15" customHeight="1">
      <c r="A5" s="55" t="s">
        <v>129</v>
      </c>
      <c r="B5" s="20" t="s">
        <v>120</v>
      </c>
      <c r="C5" s="5"/>
      <c r="D5" s="4">
        <v>4</v>
      </c>
      <c r="E5" s="58">
        <v>46336</v>
      </c>
      <c r="F5" s="4" t="s">
        <v>1467</v>
      </c>
      <c r="G5" s="5" t="s">
        <v>1468</v>
      </c>
      <c r="H5" s="4" t="s">
        <v>1469</v>
      </c>
      <c r="I5" s="55" t="s">
        <v>127</v>
      </c>
      <c r="J5" s="19">
        <v>46307</v>
      </c>
      <c r="K5" s="60"/>
    </row>
    <row r="6" spans="1:14" ht="25.15" customHeight="1">
      <c r="A6" s="55" t="s">
        <v>132</v>
      </c>
      <c r="B6" s="20" t="s">
        <v>120</v>
      </c>
      <c r="C6" s="4"/>
      <c r="D6" s="4">
        <v>4</v>
      </c>
      <c r="E6" s="58">
        <v>46336</v>
      </c>
      <c r="F6" s="4" t="s">
        <v>1467</v>
      </c>
      <c r="G6" s="5" t="s">
        <v>1468</v>
      </c>
      <c r="H6" s="4" t="s">
        <v>1469</v>
      </c>
      <c r="I6" s="55" t="s">
        <v>130</v>
      </c>
      <c r="J6" s="19">
        <v>46364</v>
      </c>
      <c r="K6" s="60"/>
    </row>
    <row r="7" spans="1:14" ht="25.15" customHeight="1">
      <c r="A7" s="55" t="s">
        <v>135</v>
      </c>
      <c r="B7" s="20" t="s">
        <v>120</v>
      </c>
      <c r="C7" s="5"/>
      <c r="D7" s="4">
        <v>4</v>
      </c>
      <c r="E7" s="58">
        <v>46336</v>
      </c>
      <c r="F7" s="4" t="s">
        <v>1467</v>
      </c>
      <c r="G7" s="5" t="s">
        <v>1468</v>
      </c>
      <c r="H7" s="4" t="s">
        <v>1472</v>
      </c>
      <c r="I7" s="55" t="s">
        <v>133</v>
      </c>
      <c r="J7" s="19">
        <v>46379</v>
      </c>
      <c r="K7" s="60"/>
    </row>
    <row r="8" spans="1:14" ht="25.15" customHeight="1">
      <c r="A8" s="55" t="s">
        <v>138</v>
      </c>
      <c r="B8" s="20" t="s">
        <v>120</v>
      </c>
      <c r="D8" s="4">
        <v>4</v>
      </c>
      <c r="E8" s="58">
        <v>46336</v>
      </c>
      <c r="F8" s="4" t="s">
        <v>1467</v>
      </c>
      <c r="G8" s="5" t="s">
        <v>1468</v>
      </c>
      <c r="H8" s="4" t="s">
        <v>1472</v>
      </c>
      <c r="I8" s="55" t="s">
        <v>136</v>
      </c>
      <c r="J8" s="19">
        <v>46380</v>
      </c>
      <c r="K8" s="60"/>
    </row>
    <row r="9" spans="1:14" ht="25.15" customHeight="1">
      <c r="A9" s="55" t="s">
        <v>141</v>
      </c>
      <c r="B9" s="20" t="s">
        <v>120</v>
      </c>
      <c r="D9" s="4">
        <v>4</v>
      </c>
      <c r="E9" s="58">
        <v>46336</v>
      </c>
      <c r="F9" s="4" t="s">
        <v>1467</v>
      </c>
      <c r="G9" s="5" t="s">
        <v>1468</v>
      </c>
      <c r="H9" s="4" t="s">
        <v>1472</v>
      </c>
      <c r="I9" s="55" t="s">
        <v>139</v>
      </c>
      <c r="J9" s="19">
        <v>46381</v>
      </c>
      <c r="K9" s="60"/>
    </row>
    <row r="10" spans="1:14" ht="25.15" customHeight="1">
      <c r="A10" s="55" t="s">
        <v>144</v>
      </c>
      <c r="B10" s="20" t="s">
        <v>120</v>
      </c>
      <c r="D10" s="4">
        <v>4</v>
      </c>
      <c r="E10" s="58">
        <v>46336</v>
      </c>
      <c r="F10" s="4" t="s">
        <v>1467</v>
      </c>
      <c r="G10" s="5" t="s">
        <v>1468</v>
      </c>
      <c r="H10" s="4" t="s">
        <v>1472</v>
      </c>
      <c r="I10" s="55" t="s">
        <v>142</v>
      </c>
      <c r="J10" s="19">
        <v>46382</v>
      </c>
      <c r="K10" s="60"/>
    </row>
    <row r="11" spans="1:14" ht="25.15" customHeight="1">
      <c r="A11" s="55" t="s">
        <v>147</v>
      </c>
      <c r="B11" s="20" t="s">
        <v>148</v>
      </c>
      <c r="C11" s="4" t="s">
        <v>1466</v>
      </c>
      <c r="D11" s="4">
        <v>4</v>
      </c>
      <c r="E11" s="58">
        <v>46344</v>
      </c>
      <c r="F11" s="4" t="s">
        <v>1467</v>
      </c>
      <c r="G11" s="4" t="s">
        <v>1473</v>
      </c>
      <c r="H11" s="5" t="s">
        <v>1469</v>
      </c>
      <c r="I11" s="55" t="s">
        <v>145</v>
      </c>
      <c r="J11" s="19">
        <v>46383</v>
      </c>
      <c r="K11" s="60">
        <v>1</v>
      </c>
    </row>
    <row r="12" spans="1:14" ht="25.15" customHeight="1">
      <c r="A12" s="55" t="s">
        <v>151</v>
      </c>
      <c r="B12" s="20" t="s">
        <v>148</v>
      </c>
      <c r="C12" s="5" t="s">
        <v>1470</v>
      </c>
      <c r="D12" s="4">
        <v>4</v>
      </c>
      <c r="E12" s="58">
        <v>46344</v>
      </c>
      <c r="F12" s="4" t="s">
        <v>1467</v>
      </c>
      <c r="G12" s="4" t="s">
        <v>1473</v>
      </c>
      <c r="H12" s="5" t="s">
        <v>1469</v>
      </c>
      <c r="I12" s="55" t="s">
        <v>149</v>
      </c>
      <c r="J12" s="19">
        <v>46384</v>
      </c>
      <c r="K12" s="60"/>
    </row>
    <row r="13" spans="1:14" ht="25.15" customHeight="1">
      <c r="A13" s="55" t="s">
        <v>154</v>
      </c>
      <c r="B13" s="20" t="s">
        <v>148</v>
      </c>
      <c r="C13" s="4" t="s">
        <v>1471</v>
      </c>
      <c r="D13" s="4">
        <v>4</v>
      </c>
      <c r="E13" s="58">
        <v>46344</v>
      </c>
      <c r="F13" s="4" t="s">
        <v>1467</v>
      </c>
      <c r="G13" s="4" t="s">
        <v>1473</v>
      </c>
      <c r="H13" s="5" t="s">
        <v>1469</v>
      </c>
      <c r="I13" s="55" t="s">
        <v>152</v>
      </c>
      <c r="J13" s="19">
        <v>46385</v>
      </c>
      <c r="K13" s="60"/>
    </row>
    <row r="14" spans="1:14" ht="25.15" customHeight="1">
      <c r="A14" s="55" t="s">
        <v>157</v>
      </c>
      <c r="B14" s="20" t="s">
        <v>148</v>
      </c>
      <c r="D14" s="4">
        <v>4</v>
      </c>
      <c r="E14" s="58">
        <v>46344</v>
      </c>
      <c r="F14" s="4" t="s">
        <v>1467</v>
      </c>
      <c r="G14" s="4" t="s">
        <v>1473</v>
      </c>
      <c r="H14" s="5" t="s">
        <v>1469</v>
      </c>
      <c r="I14" s="55" t="s">
        <v>155</v>
      </c>
      <c r="J14" s="19">
        <v>46386</v>
      </c>
      <c r="K14" s="60"/>
    </row>
    <row r="15" spans="1:14" ht="25.15" customHeight="1">
      <c r="A15" s="55" t="s">
        <v>160</v>
      </c>
      <c r="B15" s="20" t="s">
        <v>148</v>
      </c>
      <c r="D15" s="4">
        <v>4</v>
      </c>
      <c r="E15" s="58">
        <v>46344</v>
      </c>
      <c r="F15" s="4" t="s">
        <v>1467</v>
      </c>
      <c r="G15" s="4" t="s">
        <v>1473</v>
      </c>
      <c r="H15" s="5" t="s">
        <v>1469</v>
      </c>
      <c r="I15" s="55" t="s">
        <v>158</v>
      </c>
      <c r="J15" s="19">
        <v>46387</v>
      </c>
      <c r="K15" s="60"/>
    </row>
    <row r="16" spans="1:14" ht="25.15" customHeight="1">
      <c r="A16" s="55" t="s">
        <v>163</v>
      </c>
      <c r="B16" s="20" t="s">
        <v>148</v>
      </c>
      <c r="D16" s="4">
        <v>4</v>
      </c>
      <c r="E16" s="58">
        <v>46344</v>
      </c>
      <c r="F16" s="4" t="s">
        <v>1467</v>
      </c>
      <c r="G16" s="4" t="s">
        <v>1473</v>
      </c>
      <c r="H16" s="5" t="s">
        <v>1469</v>
      </c>
      <c r="I16" s="55" t="s">
        <v>161</v>
      </c>
      <c r="J16" s="19">
        <v>46388</v>
      </c>
      <c r="K16" s="60"/>
    </row>
    <row r="17" spans="1:11" ht="25.15" customHeight="1">
      <c r="A17" s="55" t="s">
        <v>166</v>
      </c>
      <c r="B17" s="20" t="s">
        <v>148</v>
      </c>
      <c r="D17" s="4">
        <v>4</v>
      </c>
      <c r="E17" s="58">
        <v>46344</v>
      </c>
      <c r="F17" s="4" t="s">
        <v>1467</v>
      </c>
      <c r="G17" s="4" t="s">
        <v>1473</v>
      </c>
      <c r="H17" s="5" t="s">
        <v>1472</v>
      </c>
      <c r="I17" s="55" t="s">
        <v>164</v>
      </c>
      <c r="J17" s="19">
        <v>46389</v>
      </c>
      <c r="K17" s="60"/>
    </row>
    <row r="18" spans="1:11" ht="25.15" customHeight="1">
      <c r="A18" s="55" t="s">
        <v>169</v>
      </c>
      <c r="B18" s="20" t="s">
        <v>148</v>
      </c>
      <c r="D18" s="4">
        <v>4</v>
      </c>
      <c r="E18" s="58">
        <v>46344</v>
      </c>
      <c r="F18" s="4" t="s">
        <v>1467</v>
      </c>
      <c r="G18" s="4" t="s">
        <v>1473</v>
      </c>
      <c r="H18" s="5" t="s">
        <v>1472</v>
      </c>
      <c r="I18" s="55" t="s">
        <v>167</v>
      </c>
      <c r="J18" s="19">
        <v>46390</v>
      </c>
      <c r="K18" s="60"/>
    </row>
    <row r="19" spans="1:11" ht="25.15" customHeight="1">
      <c r="A19" s="55" t="s">
        <v>172</v>
      </c>
      <c r="B19" s="20" t="s">
        <v>148</v>
      </c>
      <c r="D19" s="4">
        <v>4</v>
      </c>
      <c r="E19" s="58">
        <v>46344</v>
      </c>
      <c r="F19" s="4" t="s">
        <v>1467</v>
      </c>
      <c r="G19" s="4" t="s">
        <v>1473</v>
      </c>
      <c r="H19" s="5" t="s">
        <v>1472</v>
      </c>
      <c r="I19" s="55" t="s">
        <v>170</v>
      </c>
      <c r="J19" s="19">
        <v>46391</v>
      </c>
      <c r="K19" s="60"/>
    </row>
    <row r="20" spans="1:11" ht="25.15" customHeight="1">
      <c r="A20" s="55" t="s">
        <v>175</v>
      </c>
      <c r="B20" s="20" t="s">
        <v>148</v>
      </c>
      <c r="D20" s="4">
        <v>4</v>
      </c>
      <c r="E20" s="58">
        <v>46344</v>
      </c>
      <c r="F20" s="4" t="s">
        <v>1467</v>
      </c>
      <c r="G20" s="4" t="s">
        <v>1473</v>
      </c>
      <c r="H20" s="5" t="s">
        <v>1472</v>
      </c>
      <c r="I20" s="55" t="s">
        <v>173</v>
      </c>
      <c r="J20" s="19">
        <v>46392</v>
      </c>
      <c r="K20" s="60"/>
    </row>
    <row r="21" spans="1:11" ht="25.15" customHeight="1">
      <c r="A21" s="55" t="s">
        <v>178</v>
      </c>
      <c r="B21" s="20" t="s">
        <v>148</v>
      </c>
      <c r="D21" s="4">
        <v>4</v>
      </c>
      <c r="E21" s="58">
        <v>46344</v>
      </c>
      <c r="F21" s="4" t="s">
        <v>1467</v>
      </c>
      <c r="G21" s="4" t="s">
        <v>1473</v>
      </c>
      <c r="H21" s="5" t="s">
        <v>1472</v>
      </c>
      <c r="I21" s="55" t="s">
        <v>176</v>
      </c>
      <c r="J21" s="19">
        <v>46393</v>
      </c>
      <c r="K21" s="60"/>
    </row>
    <row r="22" spans="1:11" ht="25.15" customHeight="1">
      <c r="A22" s="55" t="s">
        <v>181</v>
      </c>
      <c r="B22" s="20" t="s">
        <v>148</v>
      </c>
      <c r="D22" s="4">
        <v>4</v>
      </c>
      <c r="E22" s="58">
        <v>46344</v>
      </c>
      <c r="F22" s="4" t="s">
        <v>1467</v>
      </c>
      <c r="G22" s="4" t="s">
        <v>1473</v>
      </c>
      <c r="H22" s="5" t="s">
        <v>1472</v>
      </c>
      <c r="I22" s="55" t="s">
        <v>179</v>
      </c>
      <c r="J22" s="19">
        <v>46466</v>
      </c>
      <c r="K22" s="60"/>
    </row>
    <row r="23" spans="1:11" ht="25.15" customHeight="1">
      <c r="A23" s="55" t="s">
        <v>184</v>
      </c>
      <c r="B23" s="20" t="s">
        <v>148</v>
      </c>
      <c r="D23" s="4">
        <v>4</v>
      </c>
      <c r="E23" s="58">
        <v>46344</v>
      </c>
      <c r="F23" s="4" t="s">
        <v>1467</v>
      </c>
      <c r="G23" s="4" t="s">
        <v>1473</v>
      </c>
      <c r="H23" s="5" t="s">
        <v>1472</v>
      </c>
      <c r="I23" s="55" t="s">
        <v>182</v>
      </c>
      <c r="J23" s="19">
        <v>46467</v>
      </c>
      <c r="K23" s="60"/>
    </row>
    <row r="24" spans="1:11" ht="25.15" customHeight="1">
      <c r="A24" s="55" t="s">
        <v>187</v>
      </c>
      <c r="B24" s="22" t="s">
        <v>188</v>
      </c>
      <c r="C24" s="4" t="s">
        <v>1466</v>
      </c>
      <c r="D24" s="4">
        <v>4</v>
      </c>
      <c r="E24" s="5" t="s">
        <v>1474</v>
      </c>
      <c r="F24" s="4" t="s">
        <v>1467</v>
      </c>
      <c r="G24" s="5" t="s">
        <v>1475</v>
      </c>
      <c r="H24" s="5" t="s">
        <v>1469</v>
      </c>
      <c r="I24" s="55" t="s">
        <v>185</v>
      </c>
      <c r="J24" s="19">
        <v>46468</v>
      </c>
      <c r="K24" s="60">
        <v>1</v>
      </c>
    </row>
    <row r="25" spans="1:11" ht="25.15" customHeight="1">
      <c r="A25" s="55" t="s">
        <v>191</v>
      </c>
      <c r="B25" s="22" t="s">
        <v>188</v>
      </c>
      <c r="C25" s="5" t="s">
        <v>1470</v>
      </c>
      <c r="D25" s="4">
        <v>4</v>
      </c>
      <c r="E25" s="5" t="s">
        <v>1474</v>
      </c>
      <c r="F25" s="4" t="s">
        <v>1467</v>
      </c>
      <c r="G25" s="5" t="s">
        <v>1475</v>
      </c>
      <c r="H25" s="5" t="s">
        <v>1469</v>
      </c>
      <c r="I25" s="55" t="s">
        <v>189</v>
      </c>
      <c r="J25" s="19">
        <v>46469</v>
      </c>
      <c r="K25" s="60"/>
    </row>
    <row r="26" spans="1:11" ht="25.15" customHeight="1">
      <c r="A26" s="55" t="s">
        <v>194</v>
      </c>
      <c r="B26" s="22" t="s">
        <v>188</v>
      </c>
      <c r="C26" s="4" t="s">
        <v>1471</v>
      </c>
      <c r="D26" s="4">
        <v>4</v>
      </c>
      <c r="E26" s="5" t="s">
        <v>1474</v>
      </c>
      <c r="F26" s="4" t="s">
        <v>1467</v>
      </c>
      <c r="G26" s="5" t="s">
        <v>1475</v>
      </c>
      <c r="H26" s="5" t="s">
        <v>1469</v>
      </c>
      <c r="I26" s="55" t="s">
        <v>192</v>
      </c>
      <c r="J26" s="19">
        <v>46470</v>
      </c>
      <c r="K26" s="60"/>
    </row>
    <row r="27" spans="1:11">
      <c r="A27" s="55" t="s">
        <v>195</v>
      </c>
      <c r="B27" s="22" t="s">
        <v>188</v>
      </c>
      <c r="C27" s="5"/>
      <c r="D27" s="4">
        <v>4</v>
      </c>
      <c r="E27" s="5" t="s">
        <v>1474</v>
      </c>
      <c r="F27" s="4" t="s">
        <v>1467</v>
      </c>
      <c r="G27" s="5" t="s">
        <v>1475</v>
      </c>
      <c r="H27" s="5" t="s">
        <v>1469</v>
      </c>
      <c r="I27" s="55" t="s">
        <v>28</v>
      </c>
      <c r="J27" s="19">
        <v>46471</v>
      </c>
      <c r="K27" s="60"/>
    </row>
    <row r="28" spans="1:11">
      <c r="A28" s="55" t="s">
        <v>198</v>
      </c>
      <c r="B28" s="22" t="s">
        <v>188</v>
      </c>
      <c r="C28" s="5"/>
      <c r="D28" s="4">
        <v>4</v>
      </c>
      <c r="E28" s="5" t="s">
        <v>1474</v>
      </c>
      <c r="F28" s="4" t="s">
        <v>1467</v>
      </c>
      <c r="G28" s="5" t="s">
        <v>1475</v>
      </c>
      <c r="H28" s="5" t="s">
        <v>1469</v>
      </c>
      <c r="I28" s="55" t="s">
        <v>196</v>
      </c>
      <c r="J28" s="19">
        <v>46472</v>
      </c>
      <c r="K28" s="60"/>
    </row>
    <row r="29" spans="1:11">
      <c r="A29" s="55" t="s">
        <v>201</v>
      </c>
      <c r="B29" s="22" t="s">
        <v>188</v>
      </c>
      <c r="C29" s="5"/>
      <c r="D29" s="4">
        <v>4</v>
      </c>
      <c r="E29" s="5" t="s">
        <v>1474</v>
      </c>
      <c r="F29" s="4" t="s">
        <v>1467</v>
      </c>
      <c r="G29" s="5" t="s">
        <v>1475</v>
      </c>
      <c r="H29" s="5" t="s">
        <v>1469</v>
      </c>
      <c r="I29" s="55" t="s">
        <v>199</v>
      </c>
      <c r="J29" s="19">
        <v>46473</v>
      </c>
      <c r="K29" s="60"/>
    </row>
    <row r="30" spans="1:11">
      <c r="A30" s="55" t="s">
        <v>204</v>
      </c>
      <c r="B30" s="22" t="s">
        <v>188</v>
      </c>
      <c r="C30" s="5"/>
      <c r="D30" s="4">
        <v>4</v>
      </c>
      <c r="E30" s="5" t="s">
        <v>1474</v>
      </c>
      <c r="F30" s="4" t="s">
        <v>1467</v>
      </c>
      <c r="G30" s="5" t="s">
        <v>1475</v>
      </c>
      <c r="H30" s="5" t="s">
        <v>1469</v>
      </c>
      <c r="I30" s="55" t="s">
        <v>202</v>
      </c>
      <c r="J30" s="19">
        <v>46474</v>
      </c>
      <c r="K30" s="60"/>
    </row>
    <row r="31" spans="1:11">
      <c r="A31" s="55" t="s">
        <v>207</v>
      </c>
      <c r="B31" s="22" t="s">
        <v>188</v>
      </c>
      <c r="C31" s="5"/>
      <c r="D31" s="4">
        <v>4</v>
      </c>
      <c r="E31" s="5" t="s">
        <v>1474</v>
      </c>
      <c r="F31" s="4" t="s">
        <v>1467</v>
      </c>
      <c r="G31" s="5" t="s">
        <v>1475</v>
      </c>
      <c r="H31" s="5" t="s">
        <v>1469</v>
      </c>
      <c r="I31" s="55" t="s">
        <v>205</v>
      </c>
      <c r="J31" s="19">
        <v>46475</v>
      </c>
      <c r="K31" s="60"/>
    </row>
    <row r="32" spans="1:11">
      <c r="A32" s="55" t="s">
        <v>210</v>
      </c>
      <c r="B32" s="22" t="s">
        <v>188</v>
      </c>
      <c r="C32" s="5"/>
      <c r="D32" s="4">
        <v>4</v>
      </c>
      <c r="E32" s="5" t="s">
        <v>1474</v>
      </c>
      <c r="F32" s="4" t="s">
        <v>1467</v>
      </c>
      <c r="G32" s="5" t="s">
        <v>1475</v>
      </c>
      <c r="H32" s="5" t="s">
        <v>1472</v>
      </c>
      <c r="I32" s="55" t="s">
        <v>208</v>
      </c>
      <c r="J32" s="19">
        <v>46508</v>
      </c>
      <c r="K32" s="60"/>
    </row>
    <row r="33" spans="1:11">
      <c r="A33" s="55" t="s">
        <v>213</v>
      </c>
      <c r="B33" s="22" t="s">
        <v>188</v>
      </c>
      <c r="C33" s="5"/>
      <c r="D33" s="4">
        <v>4</v>
      </c>
      <c r="E33" s="5" t="s">
        <v>1474</v>
      </c>
      <c r="F33" s="4" t="s">
        <v>1467</v>
      </c>
      <c r="G33" s="5" t="s">
        <v>1475</v>
      </c>
      <c r="H33" s="5" t="s">
        <v>1472</v>
      </c>
      <c r="I33" s="55" t="s">
        <v>211</v>
      </c>
      <c r="J33" s="19">
        <v>46524</v>
      </c>
      <c r="K33" s="60"/>
    </row>
    <row r="34" spans="1:11">
      <c r="A34" s="55" t="s">
        <v>216</v>
      </c>
      <c r="B34" s="22" t="s">
        <v>188</v>
      </c>
      <c r="C34" s="4"/>
      <c r="D34" s="4">
        <v>4</v>
      </c>
      <c r="E34" s="5" t="s">
        <v>1474</v>
      </c>
      <c r="F34" s="4" t="s">
        <v>1467</v>
      </c>
      <c r="G34" s="5" t="s">
        <v>1475</v>
      </c>
      <c r="H34" s="5" t="s">
        <v>1472</v>
      </c>
      <c r="I34" s="55" t="s">
        <v>214</v>
      </c>
      <c r="J34" s="19">
        <v>46562</v>
      </c>
      <c r="K34" s="60"/>
    </row>
    <row r="35" spans="1:11">
      <c r="A35" s="55" t="s">
        <v>219</v>
      </c>
      <c r="B35" s="22" t="s">
        <v>188</v>
      </c>
      <c r="D35" s="4">
        <v>4</v>
      </c>
      <c r="E35" s="5" t="s">
        <v>1474</v>
      </c>
      <c r="F35" s="4" t="s">
        <v>1467</v>
      </c>
      <c r="G35" s="5" t="s">
        <v>1475</v>
      </c>
      <c r="H35" s="5" t="s">
        <v>1472</v>
      </c>
      <c r="I35" s="55" t="s">
        <v>217</v>
      </c>
      <c r="K35" s="60"/>
    </row>
    <row r="36" spans="1:11">
      <c r="A36" s="55" t="s">
        <v>222</v>
      </c>
      <c r="B36" s="22" t="s">
        <v>188</v>
      </c>
      <c r="D36" s="4">
        <v>4</v>
      </c>
      <c r="E36" s="5" t="s">
        <v>1474</v>
      </c>
      <c r="F36" s="4" t="s">
        <v>1467</v>
      </c>
      <c r="G36" s="5" t="s">
        <v>1475</v>
      </c>
      <c r="H36" s="5" t="s">
        <v>1472</v>
      </c>
      <c r="I36" s="55" t="s">
        <v>220</v>
      </c>
      <c r="K36" s="60"/>
    </row>
    <row r="37" spans="1:11">
      <c r="A37" s="55" t="s">
        <v>225</v>
      </c>
      <c r="B37" s="22" t="s">
        <v>188</v>
      </c>
      <c r="D37" s="4">
        <v>4</v>
      </c>
      <c r="E37" s="5" t="s">
        <v>1474</v>
      </c>
      <c r="F37" s="4" t="s">
        <v>1467</v>
      </c>
      <c r="G37" s="5" t="s">
        <v>1475</v>
      </c>
      <c r="H37" s="5" t="s">
        <v>1472</v>
      </c>
      <c r="I37" s="55" t="s">
        <v>223</v>
      </c>
      <c r="K37" s="60"/>
    </row>
    <row r="38" spans="1:11">
      <c r="A38" s="55" t="s">
        <v>227</v>
      </c>
      <c r="B38" s="22" t="s">
        <v>188</v>
      </c>
      <c r="D38" s="4">
        <v>4</v>
      </c>
      <c r="E38" s="5" t="s">
        <v>1474</v>
      </c>
      <c r="F38" s="4" t="s">
        <v>1467</v>
      </c>
      <c r="G38" s="5" t="s">
        <v>1475</v>
      </c>
      <c r="H38" s="5" t="s">
        <v>1472</v>
      </c>
      <c r="I38" s="55" t="s">
        <v>226</v>
      </c>
      <c r="K38" s="60"/>
    </row>
    <row r="39" spans="1:11">
      <c r="A39" s="55" t="s">
        <v>230</v>
      </c>
      <c r="B39" s="20" t="s">
        <v>231</v>
      </c>
      <c r="C39" s="4" t="s">
        <v>1466</v>
      </c>
      <c r="D39" s="56">
        <v>2</v>
      </c>
      <c r="E39" s="19">
        <v>46336</v>
      </c>
      <c r="F39" s="4" t="s">
        <v>1467</v>
      </c>
      <c r="G39" s="5" t="s">
        <v>1468</v>
      </c>
      <c r="H39" s="5" t="s">
        <v>1476</v>
      </c>
      <c r="I39" s="55" t="s">
        <v>228</v>
      </c>
      <c r="K39" s="60">
        <v>2</v>
      </c>
    </row>
    <row r="40" spans="1:11">
      <c r="A40" s="55" t="s">
        <v>234</v>
      </c>
      <c r="B40" s="20" t="s">
        <v>231</v>
      </c>
      <c r="C40" s="5" t="s">
        <v>1470</v>
      </c>
      <c r="E40" s="19">
        <v>46336</v>
      </c>
      <c r="F40" s="4" t="s">
        <v>1467</v>
      </c>
      <c r="G40" s="5" t="s">
        <v>1468</v>
      </c>
      <c r="H40" s="5" t="s">
        <v>1476</v>
      </c>
      <c r="I40" s="55" t="s">
        <v>232</v>
      </c>
      <c r="K40" s="60"/>
    </row>
    <row r="41" spans="1:11">
      <c r="A41" s="55" t="s">
        <v>237</v>
      </c>
      <c r="B41" s="20" t="s">
        <v>231</v>
      </c>
      <c r="E41" s="19">
        <v>46336</v>
      </c>
      <c r="F41" s="4" t="s">
        <v>1467</v>
      </c>
      <c r="G41" s="5" t="s">
        <v>1468</v>
      </c>
      <c r="H41" s="5" t="s">
        <v>1476</v>
      </c>
      <c r="I41" s="55" t="s">
        <v>235</v>
      </c>
      <c r="K41" s="60"/>
    </row>
    <row r="42" spans="1:11">
      <c r="A42" s="55" t="s">
        <v>240</v>
      </c>
      <c r="B42" s="20" t="s">
        <v>231</v>
      </c>
      <c r="C42" s="4"/>
      <c r="E42" s="19">
        <v>46336</v>
      </c>
      <c r="F42" s="4" t="s">
        <v>1467</v>
      </c>
      <c r="G42" s="5" t="s">
        <v>1468</v>
      </c>
      <c r="H42" s="5" t="s">
        <v>1476</v>
      </c>
      <c r="I42" s="55" t="s">
        <v>238</v>
      </c>
      <c r="K42" s="60"/>
    </row>
    <row r="43" spans="1:11">
      <c r="A43" s="55" t="s">
        <v>243</v>
      </c>
      <c r="B43" s="20" t="s">
        <v>244</v>
      </c>
      <c r="C43" s="4" t="s">
        <v>1466</v>
      </c>
      <c r="D43">
        <v>1</v>
      </c>
      <c r="E43" s="19">
        <v>46336</v>
      </c>
      <c r="F43" s="4" t="s">
        <v>1467</v>
      </c>
      <c r="G43" s="5" t="s">
        <v>1468</v>
      </c>
      <c r="H43" s="5" t="s">
        <v>1476</v>
      </c>
      <c r="I43" s="55" t="s">
        <v>241</v>
      </c>
      <c r="K43" s="60">
        <v>1</v>
      </c>
    </row>
    <row r="44" spans="1:11">
      <c r="A44" s="55" t="s">
        <v>247</v>
      </c>
      <c r="B44" s="20" t="s">
        <v>244</v>
      </c>
      <c r="C44" s="23">
        <v>0.66666666666666663</v>
      </c>
      <c r="D44">
        <v>3</v>
      </c>
      <c r="E44" s="19">
        <v>46336</v>
      </c>
      <c r="F44" s="4" t="s">
        <v>1467</v>
      </c>
      <c r="G44" s="5" t="s">
        <v>1468</v>
      </c>
      <c r="H44" s="5" t="s">
        <v>1476</v>
      </c>
      <c r="I44" s="55" t="s">
        <v>245</v>
      </c>
      <c r="K44" s="60"/>
    </row>
    <row r="45" spans="1:11">
      <c r="A45" s="55" t="s">
        <v>250</v>
      </c>
      <c r="B45" s="20" t="s">
        <v>244</v>
      </c>
      <c r="C45" s="23">
        <v>0.69791666666666663</v>
      </c>
      <c r="E45" s="19">
        <v>46336</v>
      </c>
      <c r="F45" s="4" t="s">
        <v>1467</v>
      </c>
      <c r="G45" s="5" t="s">
        <v>1468</v>
      </c>
      <c r="H45" s="5" t="s">
        <v>1476</v>
      </c>
      <c r="I45" s="55" t="s">
        <v>248</v>
      </c>
      <c r="K45" s="60"/>
    </row>
    <row r="46" spans="1:11">
      <c r="A46" s="55" t="s">
        <v>253</v>
      </c>
      <c r="B46" s="20" t="s">
        <v>244</v>
      </c>
      <c r="C46" s="23"/>
      <c r="E46" s="19">
        <v>46336</v>
      </c>
      <c r="F46" s="4" t="s">
        <v>1467</v>
      </c>
      <c r="G46" s="5" t="s">
        <v>1468</v>
      </c>
      <c r="H46" s="5" t="s">
        <v>1476</v>
      </c>
      <c r="I46" s="55" t="s">
        <v>251</v>
      </c>
      <c r="K46" s="60"/>
    </row>
    <row r="47" spans="1:11">
      <c r="A47" s="55" t="s">
        <v>256</v>
      </c>
      <c r="B47" s="20" t="s">
        <v>244</v>
      </c>
      <c r="C47" s="23"/>
      <c r="E47" s="19">
        <v>46336</v>
      </c>
      <c r="F47" s="4" t="s">
        <v>1467</v>
      </c>
      <c r="G47" s="5" t="s">
        <v>1468</v>
      </c>
      <c r="H47" s="5" t="s">
        <v>1476</v>
      </c>
      <c r="I47" s="55" t="s">
        <v>254</v>
      </c>
      <c r="K47" s="60"/>
    </row>
    <row r="48" spans="1:11">
      <c r="A48" s="55" t="s">
        <v>259</v>
      </c>
      <c r="B48" s="20" t="s">
        <v>244</v>
      </c>
      <c r="C48" s="23"/>
      <c r="E48" s="19">
        <v>46336</v>
      </c>
      <c r="F48" s="4" t="s">
        <v>1467</v>
      </c>
      <c r="G48" s="5" t="s">
        <v>1468</v>
      </c>
      <c r="H48" s="5" t="s">
        <v>1476</v>
      </c>
      <c r="I48" s="55" t="s">
        <v>257</v>
      </c>
      <c r="K48" s="60"/>
    </row>
    <row r="49" spans="1:11">
      <c r="A49" s="55" t="s">
        <v>262</v>
      </c>
      <c r="B49" s="20" t="s">
        <v>244</v>
      </c>
      <c r="C49" s="23"/>
      <c r="E49" s="19">
        <v>46336</v>
      </c>
      <c r="F49" s="4" t="s">
        <v>1467</v>
      </c>
      <c r="G49" s="5" t="s">
        <v>1468</v>
      </c>
      <c r="H49" s="5" t="s">
        <v>1476</v>
      </c>
      <c r="I49" s="55" t="s">
        <v>260</v>
      </c>
      <c r="K49" s="60"/>
    </row>
    <row r="50" spans="1:11">
      <c r="A50" s="55" t="s">
        <v>263</v>
      </c>
      <c r="B50" s="22" t="s">
        <v>244</v>
      </c>
      <c r="E50" s="19">
        <v>46336</v>
      </c>
      <c r="F50" s="4" t="s">
        <v>1467</v>
      </c>
      <c r="G50" s="5" t="s">
        <v>1468</v>
      </c>
      <c r="H50" s="5" t="s">
        <v>1476</v>
      </c>
      <c r="I50" s="55" t="s">
        <v>8</v>
      </c>
      <c r="K50" s="60"/>
    </row>
    <row r="51" spans="1:11">
      <c r="A51" s="55" t="s">
        <v>266</v>
      </c>
      <c r="B51" s="20" t="s">
        <v>244</v>
      </c>
      <c r="E51" s="19">
        <v>46336</v>
      </c>
      <c r="F51" s="4" t="s">
        <v>1467</v>
      </c>
      <c r="G51" s="5" t="s">
        <v>1468</v>
      </c>
      <c r="H51" s="5" t="s">
        <v>1476</v>
      </c>
      <c r="I51" s="55" t="s">
        <v>264</v>
      </c>
      <c r="K51" s="60"/>
    </row>
    <row r="52" spans="1:11">
      <c r="A52" s="55" t="s">
        <v>269</v>
      </c>
      <c r="B52" s="20" t="s">
        <v>244</v>
      </c>
      <c r="E52" s="19">
        <v>46336</v>
      </c>
      <c r="F52" s="4" t="s">
        <v>1467</v>
      </c>
      <c r="G52" s="5" t="s">
        <v>1468</v>
      </c>
      <c r="H52" s="5" t="s">
        <v>1476</v>
      </c>
      <c r="I52" s="55" t="s">
        <v>267</v>
      </c>
      <c r="K52" s="60"/>
    </row>
    <row r="53" spans="1:11">
      <c r="A53" s="51" t="s">
        <v>47</v>
      </c>
      <c r="B53" s="50" t="s">
        <v>37</v>
      </c>
      <c r="C53" s="52">
        <v>0.54166666666666663</v>
      </c>
      <c r="D53">
        <v>3</v>
      </c>
      <c r="E53" s="19">
        <v>46336</v>
      </c>
      <c r="F53" s="4" t="s">
        <v>1467</v>
      </c>
      <c r="G53" s="5" t="s">
        <v>1468</v>
      </c>
      <c r="H53" s="5" t="s">
        <v>1476</v>
      </c>
      <c r="I53" s="51" t="s">
        <v>46</v>
      </c>
      <c r="K53" s="60">
        <v>2</v>
      </c>
    </row>
    <row r="54" spans="1:11">
      <c r="A54" s="49" t="s">
        <v>79</v>
      </c>
      <c r="B54" s="50" t="s">
        <v>37</v>
      </c>
      <c r="C54" s="52">
        <v>0.58333333333333337</v>
      </c>
      <c r="E54" s="19">
        <v>46336</v>
      </c>
      <c r="F54" s="4" t="s">
        <v>1467</v>
      </c>
      <c r="G54" s="5" t="s">
        <v>1468</v>
      </c>
      <c r="H54" s="5" t="s">
        <v>1476</v>
      </c>
      <c r="I54" s="49" t="s">
        <v>78</v>
      </c>
      <c r="K54" s="60"/>
    </row>
    <row r="55" spans="1:11">
      <c r="A55" s="51" t="s">
        <v>95</v>
      </c>
      <c r="B55" s="50" t="s">
        <v>37</v>
      </c>
      <c r="C55" s="52">
        <v>0.625</v>
      </c>
      <c r="E55" s="19">
        <v>46336</v>
      </c>
      <c r="F55" s="4" t="s">
        <v>1467</v>
      </c>
      <c r="G55" s="5" t="s">
        <v>1468</v>
      </c>
      <c r="H55" s="5" t="s">
        <v>1476</v>
      </c>
      <c r="I55" s="51" t="s">
        <v>93</v>
      </c>
      <c r="K55" s="60"/>
    </row>
    <row r="56" spans="1:11">
      <c r="A56" s="49" t="s">
        <v>35</v>
      </c>
      <c r="B56" s="50" t="s">
        <v>37</v>
      </c>
      <c r="E56" s="19">
        <v>46336</v>
      </c>
      <c r="F56" s="4" t="s">
        <v>1467</v>
      </c>
      <c r="G56" s="5" t="s">
        <v>1468</v>
      </c>
      <c r="H56" s="5" t="s">
        <v>1476</v>
      </c>
      <c r="I56" s="49" t="s">
        <v>32</v>
      </c>
      <c r="K56" s="60"/>
    </row>
    <row r="57" spans="1:11">
      <c r="A57" s="51" t="s">
        <v>50</v>
      </c>
      <c r="B57" s="50" t="s">
        <v>37</v>
      </c>
      <c r="E57" s="19">
        <v>46336</v>
      </c>
      <c r="F57" s="4" t="s">
        <v>1467</v>
      </c>
      <c r="G57" s="5" t="s">
        <v>1468</v>
      </c>
      <c r="H57" s="5" t="s">
        <v>1476</v>
      </c>
      <c r="I57" s="51" t="s">
        <v>48</v>
      </c>
      <c r="K57" s="60"/>
    </row>
    <row r="58" spans="1:11">
      <c r="A58" s="49" t="s">
        <v>40</v>
      </c>
      <c r="B58" s="50" t="s">
        <v>37</v>
      </c>
      <c r="E58" s="19">
        <v>46336</v>
      </c>
      <c r="F58" s="4" t="s">
        <v>1467</v>
      </c>
      <c r="G58" s="5" t="s">
        <v>1468</v>
      </c>
      <c r="H58" s="5" t="s">
        <v>1476</v>
      </c>
      <c r="I58" s="49" t="s">
        <v>38</v>
      </c>
      <c r="K58" s="60"/>
    </row>
    <row r="59" spans="1:11">
      <c r="A59" s="49" t="s">
        <v>31</v>
      </c>
      <c r="B59" s="48" t="s">
        <v>13</v>
      </c>
      <c r="C59" s="52">
        <v>0.54166666666666663</v>
      </c>
      <c r="D59">
        <v>5</v>
      </c>
      <c r="E59" s="19">
        <v>46344</v>
      </c>
      <c r="F59" s="4" t="s">
        <v>1467</v>
      </c>
      <c r="G59" s="57" t="s">
        <v>1473</v>
      </c>
      <c r="H59" s="57" t="s">
        <v>1469</v>
      </c>
      <c r="I59" s="49" t="s">
        <v>30</v>
      </c>
      <c r="K59" s="60"/>
    </row>
    <row r="60" spans="1:11">
      <c r="A60" s="51" t="s">
        <v>57</v>
      </c>
      <c r="B60" s="50" t="s">
        <v>13</v>
      </c>
      <c r="C60" s="52">
        <v>0.58333333333333337</v>
      </c>
      <c r="E60" s="19">
        <v>46344</v>
      </c>
      <c r="F60" s="4" t="s">
        <v>1467</v>
      </c>
      <c r="G60" s="57" t="s">
        <v>1473</v>
      </c>
      <c r="H60" s="57" t="s">
        <v>1469</v>
      </c>
      <c r="I60" s="51" t="s">
        <v>55</v>
      </c>
      <c r="K60" s="60"/>
    </row>
    <row r="61" spans="1:11">
      <c r="A61" s="49" t="s">
        <v>77</v>
      </c>
      <c r="B61" s="48" t="s">
        <v>13</v>
      </c>
      <c r="C61" s="52">
        <v>0.625</v>
      </c>
      <c r="E61" s="19">
        <v>46344</v>
      </c>
      <c r="F61" s="4" t="s">
        <v>1467</v>
      </c>
      <c r="G61" s="57" t="s">
        <v>1473</v>
      </c>
      <c r="H61" s="57" t="s">
        <v>1469</v>
      </c>
      <c r="I61" s="49" t="s">
        <v>76</v>
      </c>
      <c r="K61" s="60"/>
    </row>
    <row r="62" spans="1:11">
      <c r="A62" s="51" t="s">
        <v>60</v>
      </c>
      <c r="B62" s="50" t="s">
        <v>13</v>
      </c>
      <c r="E62" s="19">
        <v>46344</v>
      </c>
      <c r="F62" s="4" t="s">
        <v>1467</v>
      </c>
      <c r="G62" s="57" t="s">
        <v>1473</v>
      </c>
      <c r="H62" s="57" t="s">
        <v>1469</v>
      </c>
      <c r="I62" s="51" t="s">
        <v>59</v>
      </c>
      <c r="K62" s="60"/>
    </row>
    <row r="63" spans="1:11">
      <c r="A63" s="49" t="s">
        <v>53</v>
      </c>
      <c r="B63" s="48" t="s">
        <v>13</v>
      </c>
      <c r="E63" s="19">
        <v>46344</v>
      </c>
      <c r="F63" s="4" t="s">
        <v>1467</v>
      </c>
      <c r="G63" s="57" t="s">
        <v>1473</v>
      </c>
      <c r="H63" s="57" t="s">
        <v>1469</v>
      </c>
      <c r="I63" s="49" t="s">
        <v>52</v>
      </c>
      <c r="K63" s="60"/>
    </row>
    <row r="64" spans="1:11">
      <c r="A64" s="51" t="s">
        <v>74</v>
      </c>
      <c r="B64" s="50" t="s">
        <v>13</v>
      </c>
      <c r="E64" s="19">
        <v>46344</v>
      </c>
      <c r="F64" s="4" t="s">
        <v>1467</v>
      </c>
      <c r="G64" s="57" t="s">
        <v>1473</v>
      </c>
      <c r="H64" s="57" t="s">
        <v>1469</v>
      </c>
      <c r="I64" s="51" t="s">
        <v>72</v>
      </c>
      <c r="K64" s="60"/>
    </row>
    <row r="65" spans="1:11">
      <c r="A65" s="49" t="s">
        <v>19</v>
      </c>
      <c r="B65" s="48" t="s">
        <v>13</v>
      </c>
      <c r="E65" s="19">
        <v>46344</v>
      </c>
      <c r="F65" s="4" t="s">
        <v>1467</v>
      </c>
      <c r="G65" s="57" t="s">
        <v>1473</v>
      </c>
      <c r="H65" s="57" t="s">
        <v>1469</v>
      </c>
      <c r="I65" s="49" t="s">
        <v>17</v>
      </c>
      <c r="K65" s="60"/>
    </row>
    <row r="66" spans="1:11">
      <c r="A66" s="51" t="s">
        <v>85</v>
      </c>
      <c r="B66" s="50" t="s">
        <v>13</v>
      </c>
      <c r="E66" s="19">
        <v>46344</v>
      </c>
      <c r="F66" s="4" t="s">
        <v>1467</v>
      </c>
      <c r="G66" s="57" t="s">
        <v>1473</v>
      </c>
      <c r="H66" s="57" t="s">
        <v>1469</v>
      </c>
      <c r="I66" s="51" t="s">
        <v>83</v>
      </c>
      <c r="K66" s="60"/>
    </row>
    <row r="67" spans="1:11">
      <c r="A67" s="49" t="s">
        <v>29</v>
      </c>
      <c r="B67" s="48" t="s">
        <v>13</v>
      </c>
      <c r="E67" s="19">
        <v>46344</v>
      </c>
      <c r="F67" s="4" t="s">
        <v>1467</v>
      </c>
      <c r="G67" s="57" t="s">
        <v>1473</v>
      </c>
      <c r="H67" s="57" t="s">
        <v>1469</v>
      </c>
      <c r="I67" s="49" t="s">
        <v>28</v>
      </c>
      <c r="K67" s="60"/>
    </row>
    <row r="68" spans="1:11">
      <c r="A68" s="51" t="s">
        <v>26</v>
      </c>
      <c r="B68" s="50" t="s">
        <v>13</v>
      </c>
      <c r="E68" s="19">
        <v>46344</v>
      </c>
      <c r="F68" s="4" t="s">
        <v>1467</v>
      </c>
      <c r="G68" s="57" t="s">
        <v>1473</v>
      </c>
      <c r="H68" s="57" t="s">
        <v>1469</v>
      </c>
      <c r="I68" s="51" t="s">
        <v>24</v>
      </c>
      <c r="K68" s="60"/>
    </row>
    <row r="69" spans="1:11">
      <c r="A69" s="49" t="s">
        <v>91</v>
      </c>
      <c r="B69" s="48" t="s">
        <v>13</v>
      </c>
      <c r="E69" s="19">
        <v>46344</v>
      </c>
      <c r="F69" s="4" t="s">
        <v>1467</v>
      </c>
      <c r="G69" s="57" t="s">
        <v>1473</v>
      </c>
      <c r="H69" s="57" t="s">
        <v>1472</v>
      </c>
      <c r="I69" s="49" t="s">
        <v>90</v>
      </c>
      <c r="K69" s="60"/>
    </row>
    <row r="70" spans="1:11">
      <c r="A70" s="51" t="s">
        <v>44</v>
      </c>
      <c r="B70" s="50" t="s">
        <v>13</v>
      </c>
      <c r="E70" s="19">
        <v>46344</v>
      </c>
      <c r="F70" s="4" t="s">
        <v>1467</v>
      </c>
      <c r="G70" s="57" t="s">
        <v>1473</v>
      </c>
      <c r="H70" s="57" t="s">
        <v>1472</v>
      </c>
      <c r="I70" s="51" t="s">
        <v>43</v>
      </c>
      <c r="K70" s="60"/>
    </row>
    <row r="71" spans="1:11">
      <c r="A71" s="49" t="s">
        <v>70</v>
      </c>
      <c r="B71" s="48" t="s">
        <v>13</v>
      </c>
      <c r="E71" s="19">
        <v>46344</v>
      </c>
      <c r="F71" s="4" t="s">
        <v>1467</v>
      </c>
      <c r="G71" s="57" t="s">
        <v>1473</v>
      </c>
      <c r="H71" s="57" t="s">
        <v>1472</v>
      </c>
      <c r="I71" s="49" t="s">
        <v>68</v>
      </c>
      <c r="K71" s="60"/>
    </row>
    <row r="72" spans="1:11">
      <c r="A72" s="51" t="s">
        <v>15</v>
      </c>
      <c r="B72" s="50" t="s">
        <v>13</v>
      </c>
      <c r="E72" s="19">
        <v>46344</v>
      </c>
      <c r="F72" s="4" t="s">
        <v>1467</v>
      </c>
      <c r="G72" s="57" t="s">
        <v>1473</v>
      </c>
      <c r="H72" s="57" t="s">
        <v>1472</v>
      </c>
      <c r="I72" s="51" t="s">
        <v>14</v>
      </c>
      <c r="K72" s="60"/>
    </row>
    <row r="73" spans="1:11">
      <c r="A73" s="49" t="s">
        <v>63</v>
      </c>
      <c r="B73" s="48" t="s">
        <v>13</v>
      </c>
      <c r="E73" s="19">
        <v>46344</v>
      </c>
      <c r="F73" s="4" t="s">
        <v>1467</v>
      </c>
      <c r="G73" s="57" t="s">
        <v>1473</v>
      </c>
      <c r="H73" s="57" t="s">
        <v>1472</v>
      </c>
      <c r="I73" s="49" t="s">
        <v>61</v>
      </c>
      <c r="K73" s="60"/>
    </row>
    <row r="74" spans="1:11">
      <c r="A74" s="51" t="s">
        <v>98</v>
      </c>
      <c r="B74" s="50" t="s">
        <v>13</v>
      </c>
      <c r="E74" s="19">
        <v>46344</v>
      </c>
      <c r="F74" s="4" t="s">
        <v>1467</v>
      </c>
      <c r="G74" s="57" t="s">
        <v>1473</v>
      </c>
      <c r="H74" s="57" t="s">
        <v>1472</v>
      </c>
      <c r="I74" s="51" t="s">
        <v>97</v>
      </c>
      <c r="K74" s="60"/>
    </row>
    <row r="75" spans="1:11">
      <c r="A75" s="49" t="s">
        <v>82</v>
      </c>
      <c r="B75" s="48" t="s">
        <v>13</v>
      </c>
      <c r="E75" s="19">
        <v>46344</v>
      </c>
      <c r="F75" s="4" t="s">
        <v>1467</v>
      </c>
      <c r="G75" s="57" t="s">
        <v>1473</v>
      </c>
      <c r="H75" s="57" t="s">
        <v>1472</v>
      </c>
      <c r="I75" s="49" t="s">
        <v>80</v>
      </c>
      <c r="K75" s="60"/>
    </row>
    <row r="76" spans="1:11">
      <c r="A76" s="51" t="s">
        <v>88</v>
      </c>
      <c r="B76" s="50" t="s">
        <v>13</v>
      </c>
      <c r="E76" s="19">
        <v>46344</v>
      </c>
      <c r="F76" s="4" t="s">
        <v>1467</v>
      </c>
      <c r="G76" s="57" t="s">
        <v>1473</v>
      </c>
      <c r="H76" s="57" t="s">
        <v>1472</v>
      </c>
      <c r="I76" s="51" t="s">
        <v>87</v>
      </c>
      <c r="K76" s="60"/>
    </row>
    <row r="77" spans="1:11">
      <c r="A77" s="49" t="s">
        <v>66</v>
      </c>
      <c r="B77" s="48" t="s">
        <v>13</v>
      </c>
      <c r="E77" s="19">
        <v>46344</v>
      </c>
      <c r="F77" s="4" t="s">
        <v>1467</v>
      </c>
      <c r="G77" s="57" t="s">
        <v>1473</v>
      </c>
      <c r="H77" s="57" t="s">
        <v>1472</v>
      </c>
      <c r="I77" s="49" t="s">
        <v>64</v>
      </c>
      <c r="K77" s="60"/>
    </row>
    <row r="78" spans="1:11">
      <c r="A78" s="51" t="s">
        <v>22</v>
      </c>
      <c r="B78" s="50" t="s">
        <v>13</v>
      </c>
      <c r="E78" s="19">
        <v>46344</v>
      </c>
      <c r="F78" s="4" t="s">
        <v>1467</v>
      </c>
      <c r="G78" s="57" t="s">
        <v>1473</v>
      </c>
      <c r="H78" s="57" t="s">
        <v>1472</v>
      </c>
      <c r="I78" s="51" t="s">
        <v>21</v>
      </c>
      <c r="K78" s="60"/>
    </row>
    <row r="79" spans="1:11">
      <c r="A79" s="49" t="s">
        <v>40</v>
      </c>
      <c r="B79" s="48" t="s">
        <v>13</v>
      </c>
      <c r="E79" s="19">
        <v>46344</v>
      </c>
      <c r="F79" s="4" t="s">
        <v>1467</v>
      </c>
      <c r="G79" s="57" t="s">
        <v>1473</v>
      </c>
      <c r="H79" s="57" t="s">
        <v>1472</v>
      </c>
      <c r="I79" s="49" t="s">
        <v>38</v>
      </c>
      <c r="K79" s="60"/>
    </row>
    <row r="80" spans="1:11">
      <c r="A80" s="21" t="s">
        <v>105</v>
      </c>
      <c r="B80" s="20" t="s">
        <v>106</v>
      </c>
      <c r="C80" s="23">
        <v>0.60416666666666663</v>
      </c>
      <c r="D80" s="4">
        <v>4</v>
      </c>
      <c r="E80" s="25">
        <v>46331</v>
      </c>
      <c r="F80" s="4" t="s">
        <v>1467</v>
      </c>
      <c r="G80" s="4" t="s">
        <v>1475</v>
      </c>
      <c r="H80" s="4" t="s">
        <v>1476</v>
      </c>
      <c r="K80" s="60">
        <v>2</v>
      </c>
    </row>
    <row r="81" spans="1:11">
      <c r="A81" s="21" t="s">
        <v>275</v>
      </c>
      <c r="B81" s="20" t="s">
        <v>106</v>
      </c>
      <c r="C81" s="24">
        <v>0.64583333333333337</v>
      </c>
      <c r="D81" s="4">
        <v>4</v>
      </c>
      <c r="E81" s="25">
        <v>46331</v>
      </c>
      <c r="F81" s="4" t="s">
        <v>1467</v>
      </c>
      <c r="G81" s="4" t="s">
        <v>1475</v>
      </c>
      <c r="H81" s="4" t="s">
        <v>1476</v>
      </c>
      <c r="K81" s="60"/>
    </row>
    <row r="82" spans="1:11">
      <c r="A82" s="21" t="s">
        <v>113</v>
      </c>
      <c r="B82" s="20" t="s">
        <v>106</v>
      </c>
      <c r="C82" s="4"/>
      <c r="D82" s="4">
        <v>4</v>
      </c>
      <c r="E82" s="25">
        <v>46331</v>
      </c>
      <c r="F82" s="4" t="s">
        <v>1467</v>
      </c>
      <c r="G82" s="4" t="s">
        <v>1475</v>
      </c>
      <c r="H82" s="4" t="s">
        <v>1476</v>
      </c>
      <c r="K82" s="60"/>
    </row>
    <row r="83" spans="1:11">
      <c r="A83" s="21" t="s">
        <v>116</v>
      </c>
      <c r="B83" s="20" t="s">
        <v>106</v>
      </c>
      <c r="C83" s="5"/>
      <c r="D83" s="4">
        <v>4</v>
      </c>
      <c r="E83" s="25">
        <v>46331</v>
      </c>
      <c r="F83" s="4" t="s">
        <v>1467</v>
      </c>
      <c r="G83" s="4" t="s">
        <v>1475</v>
      </c>
      <c r="H83" s="4" t="s">
        <v>1476</v>
      </c>
      <c r="K83" s="60"/>
    </row>
    <row r="84" spans="1:11">
      <c r="A84" s="21" t="s">
        <v>293</v>
      </c>
      <c r="B84" s="20" t="s">
        <v>106</v>
      </c>
      <c r="D84" s="4">
        <v>4</v>
      </c>
      <c r="E84" s="25">
        <v>46331</v>
      </c>
      <c r="F84" s="4" t="s">
        <v>1467</v>
      </c>
      <c r="G84" s="4" t="s">
        <v>1475</v>
      </c>
      <c r="H84" s="4" t="s">
        <v>1476</v>
      </c>
      <c r="K84" s="60"/>
    </row>
    <row r="85" spans="1:11">
      <c r="A85" s="21" t="s">
        <v>296</v>
      </c>
      <c r="B85" s="20" t="s">
        <v>106</v>
      </c>
      <c r="D85" s="4">
        <v>4</v>
      </c>
      <c r="E85" s="25">
        <v>46331</v>
      </c>
      <c r="F85" s="4" t="s">
        <v>1467</v>
      </c>
      <c r="G85" s="4" t="s">
        <v>1475</v>
      </c>
      <c r="H85" s="4" t="s">
        <v>1476</v>
      </c>
      <c r="K85" s="60"/>
    </row>
  </sheetData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3">
    <pageSetUpPr fitToPage="1"/>
  </sheetPr>
  <dimension ref="A1:W339"/>
  <sheetViews>
    <sheetView tabSelected="1" zoomScaleNormal="100" workbookViewId="0">
      <selection activeCell="L2" sqref="L2"/>
    </sheetView>
  </sheetViews>
  <sheetFormatPr baseColWidth="10" defaultColWidth="9.140625" defaultRowHeight="15"/>
  <cols>
    <col min="1" max="1" width="6.85546875" bestFit="1" customWidth="1"/>
    <col min="2" max="2" width="30.85546875" bestFit="1" customWidth="1"/>
    <col min="3" max="3" width="5" bestFit="1" customWidth="1"/>
    <col min="4" max="4" width="9.28515625" bestFit="1" customWidth="1"/>
    <col min="5" max="5" width="5.28515625" bestFit="1" customWidth="1"/>
    <col min="6" max="6" width="8" bestFit="1" customWidth="1"/>
    <col min="7" max="7" width="5.85546875" bestFit="1" customWidth="1"/>
    <col min="8" max="8" width="10.7109375" style="19" bestFit="1" customWidth="1"/>
    <col min="9" max="9" width="10.140625" style="7" bestFit="1" customWidth="1"/>
    <col min="10" max="10" width="6" bestFit="1" customWidth="1"/>
    <col min="11" max="11" width="45" bestFit="1" customWidth="1"/>
    <col min="12" max="12" width="12.7109375" bestFit="1" customWidth="1"/>
    <col min="13" max="13" width="15" bestFit="1" customWidth="1"/>
    <col min="14" max="14" width="45" bestFit="1" customWidth="1"/>
    <col min="15" max="15" width="10.140625" bestFit="1" customWidth="1"/>
    <col min="16" max="17" width="16.42578125" bestFit="1" customWidth="1"/>
  </cols>
  <sheetData>
    <row r="1" spans="1:23" ht="24.95" customHeight="1">
      <c r="A1" s="6" t="s">
        <v>1</v>
      </c>
      <c r="B1" s="6" t="s">
        <v>1456</v>
      </c>
      <c r="C1" s="6" t="s">
        <v>1460</v>
      </c>
      <c r="D1" s="6" t="s">
        <v>1461</v>
      </c>
      <c r="E1" s="6" t="s">
        <v>1477</v>
      </c>
      <c r="F1" s="6" t="s">
        <v>1478</v>
      </c>
      <c r="G1" s="6" t="s">
        <v>1479</v>
      </c>
      <c r="H1" s="61" t="s">
        <v>1480</v>
      </c>
      <c r="I1" s="8" t="s">
        <v>1481</v>
      </c>
      <c r="J1" s="6" t="s">
        <v>1482</v>
      </c>
      <c r="K1" s="6" t="s">
        <v>1483</v>
      </c>
      <c r="L1" s="6" t="s">
        <v>1484</v>
      </c>
      <c r="M1" s="6" t="s">
        <v>1485</v>
      </c>
      <c r="N1" s="6" t="s">
        <v>1486</v>
      </c>
      <c r="O1" s="6" t="s">
        <v>1487</v>
      </c>
      <c r="P1" s="6" t="s">
        <v>1488</v>
      </c>
      <c r="Q1" s="6" t="s">
        <v>1489</v>
      </c>
      <c r="R1" s="6" t="s">
        <v>1490</v>
      </c>
      <c r="S1" s="6" t="s">
        <v>1491</v>
      </c>
      <c r="T1" s="6" t="s">
        <v>1492</v>
      </c>
      <c r="U1" s="6" t="s">
        <v>1493</v>
      </c>
      <c r="V1" s="6" t="s">
        <v>1494</v>
      </c>
      <c r="W1" s="6" t="s">
        <v>1495</v>
      </c>
    </row>
    <row r="2" spans="1:23">
      <c r="A2" t="s">
        <v>1453</v>
      </c>
      <c r="B2" t="s">
        <v>120</v>
      </c>
      <c r="C2">
        <v>2627</v>
      </c>
      <c r="D2" t="s">
        <v>1468</v>
      </c>
      <c r="E2" t="s">
        <v>1469</v>
      </c>
      <c r="F2">
        <v>1</v>
      </c>
      <c r="G2">
        <v>1</v>
      </c>
      <c r="H2" s="19">
        <v>46336</v>
      </c>
      <c r="I2" s="7" t="s">
        <v>1466</v>
      </c>
      <c r="J2">
        <v>1</v>
      </c>
      <c r="K2" t="s">
        <v>123</v>
      </c>
      <c r="N2" t="s">
        <v>132</v>
      </c>
      <c r="O2" t="s">
        <v>1984</v>
      </c>
      <c r="P2" t="s">
        <v>121</v>
      </c>
      <c r="Q2" t="s">
        <v>130</v>
      </c>
    </row>
    <row r="3" spans="1:23">
      <c r="A3" t="s">
        <v>1454</v>
      </c>
      <c r="B3" t="s">
        <v>120</v>
      </c>
      <c r="C3">
        <v>2627</v>
      </c>
      <c r="D3" t="s">
        <v>1468</v>
      </c>
      <c r="E3" t="s">
        <v>1469</v>
      </c>
      <c r="F3">
        <v>1</v>
      </c>
      <c r="G3">
        <v>2</v>
      </c>
      <c r="H3" s="19">
        <v>46336</v>
      </c>
      <c r="I3" s="7" t="s">
        <v>1466</v>
      </c>
      <c r="J3">
        <v>2</v>
      </c>
      <c r="K3" t="s">
        <v>126</v>
      </c>
      <c r="N3" t="s">
        <v>408</v>
      </c>
      <c r="O3" t="s">
        <v>1497</v>
      </c>
      <c r="P3" t="s">
        <v>124</v>
      </c>
      <c r="Q3" t="s">
        <v>127</v>
      </c>
    </row>
    <row r="4" spans="1:23">
      <c r="A4" t="s">
        <v>1455</v>
      </c>
      <c r="B4" t="s">
        <v>120</v>
      </c>
      <c r="C4">
        <v>2627</v>
      </c>
      <c r="D4" t="s">
        <v>1468</v>
      </c>
      <c r="E4" t="s">
        <v>1472</v>
      </c>
      <c r="F4">
        <v>1</v>
      </c>
      <c r="G4">
        <v>1</v>
      </c>
      <c r="H4" s="19">
        <v>46336</v>
      </c>
      <c r="I4" s="7" t="s">
        <v>1466</v>
      </c>
      <c r="J4">
        <v>3</v>
      </c>
      <c r="K4" t="s">
        <v>135</v>
      </c>
      <c r="N4" t="s">
        <v>144</v>
      </c>
      <c r="O4" t="s">
        <v>1497</v>
      </c>
      <c r="P4" t="s">
        <v>133</v>
      </c>
      <c r="Q4" t="s">
        <v>142</v>
      </c>
    </row>
    <row r="5" spans="1:23">
      <c r="A5" t="s">
        <v>1496</v>
      </c>
      <c r="B5" t="s">
        <v>120</v>
      </c>
      <c r="C5">
        <v>2627</v>
      </c>
      <c r="D5" t="s">
        <v>1468</v>
      </c>
      <c r="E5" t="s">
        <v>1472</v>
      </c>
      <c r="F5">
        <v>1</v>
      </c>
      <c r="G5">
        <v>2</v>
      </c>
      <c r="H5" s="19">
        <v>46336</v>
      </c>
      <c r="I5" s="7" t="s">
        <v>1466</v>
      </c>
      <c r="J5">
        <v>4</v>
      </c>
      <c r="K5" t="s">
        <v>138</v>
      </c>
      <c r="N5" t="s">
        <v>141</v>
      </c>
      <c r="O5" t="s">
        <v>1497</v>
      </c>
      <c r="P5" t="s">
        <v>136</v>
      </c>
      <c r="Q5" t="s">
        <v>139</v>
      </c>
    </row>
    <row r="6" spans="1:23">
      <c r="A6" t="s">
        <v>1498</v>
      </c>
      <c r="B6" t="s">
        <v>120</v>
      </c>
      <c r="C6">
        <v>2627</v>
      </c>
      <c r="D6" t="s">
        <v>1468</v>
      </c>
      <c r="E6" t="s">
        <v>1469</v>
      </c>
      <c r="F6">
        <v>2</v>
      </c>
      <c r="G6">
        <v>1</v>
      </c>
      <c r="H6" s="19">
        <v>46343</v>
      </c>
      <c r="I6" s="7" t="s">
        <v>1466</v>
      </c>
      <c r="J6">
        <v>1</v>
      </c>
      <c r="K6" t="s">
        <v>132</v>
      </c>
      <c r="N6" t="s">
        <v>119</v>
      </c>
      <c r="O6" t="s">
        <v>1497</v>
      </c>
      <c r="P6" t="s">
        <v>130</v>
      </c>
      <c r="Q6" t="s">
        <v>117</v>
      </c>
    </row>
    <row r="7" spans="1:23">
      <c r="A7" t="s">
        <v>1499</v>
      </c>
      <c r="B7" t="s">
        <v>120</v>
      </c>
      <c r="C7">
        <v>2627</v>
      </c>
      <c r="D7" t="s">
        <v>1468</v>
      </c>
      <c r="E7" t="s">
        <v>1469</v>
      </c>
      <c r="F7">
        <v>2</v>
      </c>
      <c r="G7">
        <v>2</v>
      </c>
      <c r="H7" s="19">
        <v>46343</v>
      </c>
      <c r="I7" s="7" t="s">
        <v>1466</v>
      </c>
      <c r="J7">
        <v>2</v>
      </c>
      <c r="K7" t="s">
        <v>126</v>
      </c>
      <c r="N7" t="s">
        <v>123</v>
      </c>
      <c r="O7" t="s">
        <v>1497</v>
      </c>
      <c r="P7" t="s">
        <v>124</v>
      </c>
      <c r="Q7" t="s">
        <v>121</v>
      </c>
    </row>
    <row r="8" spans="1:23">
      <c r="A8" t="s">
        <v>1500</v>
      </c>
      <c r="B8" t="s">
        <v>120</v>
      </c>
      <c r="C8">
        <v>2627</v>
      </c>
      <c r="D8" t="s">
        <v>1468</v>
      </c>
      <c r="E8" t="s">
        <v>1472</v>
      </c>
      <c r="F8">
        <v>2</v>
      </c>
      <c r="G8">
        <v>1</v>
      </c>
      <c r="H8" s="19">
        <v>46343</v>
      </c>
      <c r="I8" s="7" t="s">
        <v>1466</v>
      </c>
      <c r="J8">
        <v>3</v>
      </c>
      <c r="K8" t="s">
        <v>141</v>
      </c>
      <c r="N8" t="s">
        <v>135</v>
      </c>
      <c r="O8" t="s">
        <v>1497</v>
      </c>
      <c r="P8" t="s">
        <v>139</v>
      </c>
      <c r="Q8" t="s">
        <v>133</v>
      </c>
    </row>
    <row r="9" spans="1:23">
      <c r="A9" t="s">
        <v>1501</v>
      </c>
      <c r="B9" t="s">
        <v>120</v>
      </c>
      <c r="C9">
        <v>2627</v>
      </c>
      <c r="D9" t="s">
        <v>1468</v>
      </c>
      <c r="E9" t="s">
        <v>1472</v>
      </c>
      <c r="F9">
        <v>2</v>
      </c>
      <c r="G9">
        <v>2</v>
      </c>
      <c r="H9" s="19">
        <v>46343</v>
      </c>
      <c r="I9" s="7" t="s">
        <v>1466</v>
      </c>
      <c r="J9">
        <v>4</v>
      </c>
      <c r="K9" t="s">
        <v>138</v>
      </c>
      <c r="N9" t="s">
        <v>144</v>
      </c>
      <c r="O9" t="s">
        <v>1497</v>
      </c>
      <c r="P9" t="s">
        <v>136</v>
      </c>
      <c r="Q9" t="s">
        <v>142</v>
      </c>
    </row>
    <row r="10" spans="1:23">
      <c r="A10" t="s">
        <v>1502</v>
      </c>
      <c r="B10" t="s">
        <v>120</v>
      </c>
      <c r="C10">
        <v>2627</v>
      </c>
      <c r="D10" t="s">
        <v>1468</v>
      </c>
      <c r="E10" t="s">
        <v>1469</v>
      </c>
      <c r="F10">
        <v>3</v>
      </c>
      <c r="G10">
        <v>1</v>
      </c>
      <c r="H10" s="19">
        <v>46350</v>
      </c>
      <c r="I10" s="7" t="s">
        <v>1466</v>
      </c>
      <c r="J10">
        <v>1</v>
      </c>
      <c r="K10" t="s">
        <v>119</v>
      </c>
      <c r="N10" t="s">
        <v>408</v>
      </c>
      <c r="O10" t="s">
        <v>1497</v>
      </c>
      <c r="P10" t="s">
        <v>117</v>
      </c>
      <c r="Q10" t="s">
        <v>127</v>
      </c>
    </row>
    <row r="11" spans="1:23">
      <c r="A11" t="s">
        <v>1503</v>
      </c>
      <c r="B11" t="s">
        <v>120</v>
      </c>
      <c r="C11">
        <v>2627</v>
      </c>
      <c r="D11" t="s">
        <v>1468</v>
      </c>
      <c r="E11" t="s">
        <v>1469</v>
      </c>
      <c r="F11">
        <v>3</v>
      </c>
      <c r="G11">
        <v>2</v>
      </c>
      <c r="H11" s="19">
        <v>46350</v>
      </c>
      <c r="I11" s="7" t="s">
        <v>1466</v>
      </c>
      <c r="J11">
        <v>2</v>
      </c>
      <c r="K11" t="s">
        <v>132</v>
      </c>
      <c r="N11" t="s">
        <v>126</v>
      </c>
      <c r="O11" t="s">
        <v>1497</v>
      </c>
      <c r="P11" t="s">
        <v>130</v>
      </c>
      <c r="Q11" t="s">
        <v>124</v>
      </c>
    </row>
    <row r="12" spans="1:23">
      <c r="A12" t="s">
        <v>1504</v>
      </c>
      <c r="B12" t="s">
        <v>120</v>
      </c>
      <c r="C12">
        <v>2627</v>
      </c>
      <c r="D12" t="s">
        <v>1468</v>
      </c>
      <c r="E12" t="s">
        <v>1472</v>
      </c>
      <c r="F12">
        <v>3</v>
      </c>
      <c r="G12">
        <v>1</v>
      </c>
      <c r="H12" s="19">
        <v>46350</v>
      </c>
      <c r="I12" s="7" t="s">
        <v>1466</v>
      </c>
      <c r="J12">
        <v>3</v>
      </c>
      <c r="K12" t="s">
        <v>135</v>
      </c>
      <c r="N12" t="s">
        <v>138</v>
      </c>
      <c r="O12" t="s">
        <v>1497</v>
      </c>
      <c r="P12" t="s">
        <v>133</v>
      </c>
      <c r="Q12" t="s">
        <v>136</v>
      </c>
    </row>
    <row r="13" spans="1:23">
      <c r="A13" t="s">
        <v>1505</v>
      </c>
      <c r="B13" t="s">
        <v>120</v>
      </c>
      <c r="C13">
        <v>2627</v>
      </c>
      <c r="D13" t="s">
        <v>1468</v>
      </c>
      <c r="E13" t="s">
        <v>1472</v>
      </c>
      <c r="F13">
        <v>3</v>
      </c>
      <c r="G13">
        <v>2</v>
      </c>
      <c r="H13" s="19">
        <v>46350</v>
      </c>
      <c r="I13" s="7" t="s">
        <v>1466</v>
      </c>
      <c r="J13">
        <v>4</v>
      </c>
      <c r="K13" t="s">
        <v>141</v>
      </c>
      <c r="N13" t="s">
        <v>144</v>
      </c>
      <c r="O13" t="s">
        <v>1497</v>
      </c>
      <c r="P13" t="s">
        <v>139</v>
      </c>
      <c r="Q13" t="s">
        <v>142</v>
      </c>
    </row>
    <row r="14" spans="1:23">
      <c r="A14" t="s">
        <v>1506</v>
      </c>
      <c r="B14" t="s">
        <v>120</v>
      </c>
      <c r="C14">
        <v>2627</v>
      </c>
      <c r="D14" t="s">
        <v>1468</v>
      </c>
      <c r="E14" t="s">
        <v>1469</v>
      </c>
      <c r="F14">
        <v>4</v>
      </c>
      <c r="G14">
        <v>1</v>
      </c>
      <c r="H14" s="19">
        <v>46357</v>
      </c>
      <c r="I14" s="7" t="s">
        <v>1466</v>
      </c>
      <c r="J14">
        <v>1</v>
      </c>
      <c r="K14" t="s">
        <v>126</v>
      </c>
      <c r="N14" t="s">
        <v>119</v>
      </c>
      <c r="O14" t="s">
        <v>1497</v>
      </c>
      <c r="P14" t="s">
        <v>124</v>
      </c>
      <c r="Q14" t="s">
        <v>117</v>
      </c>
    </row>
    <row r="15" spans="1:23">
      <c r="A15" t="s">
        <v>1507</v>
      </c>
      <c r="B15" t="s">
        <v>120</v>
      </c>
      <c r="C15">
        <v>2627</v>
      </c>
      <c r="D15" t="s">
        <v>1468</v>
      </c>
      <c r="E15" t="s">
        <v>1469</v>
      </c>
      <c r="F15">
        <v>4</v>
      </c>
      <c r="G15">
        <v>2</v>
      </c>
      <c r="H15" s="19">
        <v>46357</v>
      </c>
      <c r="I15" s="7" t="s">
        <v>1466</v>
      </c>
      <c r="J15">
        <v>2</v>
      </c>
      <c r="K15" t="s">
        <v>123</v>
      </c>
      <c r="N15" t="s">
        <v>408</v>
      </c>
      <c r="O15" t="s">
        <v>1497</v>
      </c>
      <c r="P15" t="s">
        <v>121</v>
      </c>
      <c r="Q15" t="s">
        <v>127</v>
      </c>
    </row>
    <row r="16" spans="1:23">
      <c r="A16" t="s">
        <v>1508</v>
      </c>
      <c r="B16" t="s">
        <v>120</v>
      </c>
      <c r="C16">
        <v>2627</v>
      </c>
      <c r="D16" t="s">
        <v>1468</v>
      </c>
      <c r="E16" t="s">
        <v>1472</v>
      </c>
      <c r="F16">
        <v>4</v>
      </c>
      <c r="G16">
        <v>1</v>
      </c>
      <c r="H16" s="19">
        <v>46357</v>
      </c>
      <c r="I16" s="7" t="s">
        <v>1466</v>
      </c>
      <c r="J16">
        <v>3</v>
      </c>
      <c r="K16" t="s">
        <v>144</v>
      </c>
      <c r="N16" t="s">
        <v>135</v>
      </c>
      <c r="O16" t="s">
        <v>1497</v>
      </c>
      <c r="P16" t="s">
        <v>142</v>
      </c>
      <c r="Q16" t="s">
        <v>133</v>
      </c>
    </row>
    <row r="17" spans="1:17">
      <c r="A17" t="s">
        <v>1509</v>
      </c>
      <c r="B17" t="s">
        <v>120</v>
      </c>
      <c r="C17">
        <v>2627</v>
      </c>
      <c r="D17" t="s">
        <v>1468</v>
      </c>
      <c r="E17" t="s">
        <v>1472</v>
      </c>
      <c r="F17">
        <v>4</v>
      </c>
      <c r="G17">
        <v>2</v>
      </c>
      <c r="H17" s="19">
        <v>46357</v>
      </c>
      <c r="I17" s="7" t="s">
        <v>1466</v>
      </c>
      <c r="J17">
        <v>4</v>
      </c>
      <c r="K17" t="s">
        <v>141</v>
      </c>
      <c r="N17" t="s">
        <v>138</v>
      </c>
      <c r="O17" t="s">
        <v>1497</v>
      </c>
      <c r="P17" t="s">
        <v>139</v>
      </c>
      <c r="Q17" t="s">
        <v>136</v>
      </c>
    </row>
    <row r="18" spans="1:17">
      <c r="A18" t="s">
        <v>1510</v>
      </c>
      <c r="B18" t="s">
        <v>120</v>
      </c>
      <c r="C18">
        <v>2627</v>
      </c>
      <c r="D18" t="s">
        <v>1468</v>
      </c>
      <c r="E18" t="s">
        <v>1469</v>
      </c>
      <c r="F18">
        <v>5</v>
      </c>
      <c r="G18">
        <v>1</v>
      </c>
      <c r="H18" s="19">
        <v>46371</v>
      </c>
      <c r="I18" s="7" t="s">
        <v>1466</v>
      </c>
      <c r="J18">
        <v>1</v>
      </c>
      <c r="K18" t="s">
        <v>119</v>
      </c>
      <c r="N18" t="s">
        <v>123</v>
      </c>
      <c r="O18" t="s">
        <v>1497</v>
      </c>
      <c r="P18" t="s">
        <v>117</v>
      </c>
      <c r="Q18" t="s">
        <v>121</v>
      </c>
    </row>
    <row r="19" spans="1:17">
      <c r="A19" t="s">
        <v>1511</v>
      </c>
      <c r="B19" t="s">
        <v>120</v>
      </c>
      <c r="C19">
        <v>2627</v>
      </c>
      <c r="D19" t="s">
        <v>1468</v>
      </c>
      <c r="E19" t="s">
        <v>1469</v>
      </c>
      <c r="F19">
        <v>5</v>
      </c>
      <c r="G19">
        <v>2</v>
      </c>
      <c r="H19" s="19">
        <v>46371</v>
      </c>
      <c r="I19" s="7" t="s">
        <v>1466</v>
      </c>
      <c r="J19">
        <v>2</v>
      </c>
      <c r="K19" t="s">
        <v>408</v>
      </c>
      <c r="N19" t="s">
        <v>132</v>
      </c>
      <c r="O19" t="s">
        <v>1497</v>
      </c>
      <c r="P19" t="s">
        <v>127</v>
      </c>
      <c r="Q19" t="s">
        <v>130</v>
      </c>
    </row>
    <row r="20" spans="1:17">
      <c r="A20" t="s">
        <v>1512</v>
      </c>
      <c r="B20" t="s">
        <v>120</v>
      </c>
      <c r="C20">
        <v>2627</v>
      </c>
      <c r="D20" t="s">
        <v>1468</v>
      </c>
      <c r="E20" t="s">
        <v>1472</v>
      </c>
      <c r="F20">
        <v>5</v>
      </c>
      <c r="G20">
        <v>1</v>
      </c>
      <c r="H20" s="19">
        <v>46371</v>
      </c>
      <c r="I20" s="7" t="s">
        <v>1466</v>
      </c>
      <c r="J20">
        <v>3</v>
      </c>
      <c r="K20" t="s">
        <v>135</v>
      </c>
      <c r="N20" t="s">
        <v>141</v>
      </c>
      <c r="O20" t="s">
        <v>1497</v>
      </c>
      <c r="P20" t="s">
        <v>133</v>
      </c>
      <c r="Q20" t="s">
        <v>139</v>
      </c>
    </row>
    <row r="21" spans="1:17">
      <c r="A21" t="s">
        <v>1513</v>
      </c>
      <c r="B21" t="s">
        <v>120</v>
      </c>
      <c r="C21">
        <v>2627</v>
      </c>
      <c r="D21" t="s">
        <v>1468</v>
      </c>
      <c r="E21" t="s">
        <v>1472</v>
      </c>
      <c r="F21">
        <v>5</v>
      </c>
      <c r="G21">
        <v>2</v>
      </c>
      <c r="H21" s="19">
        <v>46371</v>
      </c>
      <c r="I21" s="7" t="s">
        <v>1466</v>
      </c>
      <c r="J21">
        <v>4</v>
      </c>
      <c r="K21" t="s">
        <v>144</v>
      </c>
      <c r="N21" t="s">
        <v>138</v>
      </c>
      <c r="O21" t="s">
        <v>1497</v>
      </c>
      <c r="P21" t="s">
        <v>142</v>
      </c>
      <c r="Q21" t="s">
        <v>136</v>
      </c>
    </row>
    <row r="22" spans="1:17">
      <c r="A22" t="s">
        <v>1514</v>
      </c>
      <c r="B22" t="s">
        <v>148</v>
      </c>
      <c r="C22">
        <v>2627</v>
      </c>
      <c r="D22" t="s">
        <v>1473</v>
      </c>
      <c r="E22" t="s">
        <v>1469</v>
      </c>
      <c r="F22">
        <v>1</v>
      </c>
      <c r="G22">
        <v>1</v>
      </c>
      <c r="H22" s="19">
        <v>46344</v>
      </c>
      <c r="I22" s="7" t="s">
        <v>1466</v>
      </c>
      <c r="J22">
        <v>1</v>
      </c>
      <c r="K22" t="s">
        <v>147</v>
      </c>
      <c r="N22" t="s">
        <v>163</v>
      </c>
      <c r="O22" t="s">
        <v>1497</v>
      </c>
      <c r="P22" t="s">
        <v>145</v>
      </c>
      <c r="Q22" t="s">
        <v>161</v>
      </c>
    </row>
    <row r="23" spans="1:17">
      <c r="A23" t="s">
        <v>1515</v>
      </c>
      <c r="B23" t="s">
        <v>148</v>
      </c>
      <c r="C23">
        <v>2627</v>
      </c>
      <c r="D23" t="s">
        <v>1473</v>
      </c>
      <c r="E23" t="s">
        <v>1469</v>
      </c>
      <c r="F23">
        <v>1</v>
      </c>
      <c r="G23">
        <v>2</v>
      </c>
      <c r="H23" s="19">
        <v>46344</v>
      </c>
      <c r="I23" s="7" t="s">
        <v>1466</v>
      </c>
      <c r="J23">
        <v>2</v>
      </c>
      <c r="K23" t="s">
        <v>151</v>
      </c>
      <c r="N23" t="s">
        <v>160</v>
      </c>
      <c r="O23" t="s">
        <v>1497</v>
      </c>
      <c r="P23" t="s">
        <v>149</v>
      </c>
      <c r="Q23" t="s">
        <v>158</v>
      </c>
    </row>
    <row r="24" spans="1:17">
      <c r="A24" t="s">
        <v>1516</v>
      </c>
      <c r="B24" t="s">
        <v>148</v>
      </c>
      <c r="C24">
        <v>2627</v>
      </c>
      <c r="D24" t="s">
        <v>1473</v>
      </c>
      <c r="E24" t="s">
        <v>1469</v>
      </c>
      <c r="F24">
        <v>1</v>
      </c>
      <c r="G24">
        <v>3</v>
      </c>
      <c r="H24" s="19">
        <v>46344</v>
      </c>
      <c r="I24" s="7" t="s">
        <v>1466</v>
      </c>
      <c r="J24">
        <v>3</v>
      </c>
      <c r="K24" t="s">
        <v>154</v>
      </c>
      <c r="N24" t="s">
        <v>157</v>
      </c>
      <c r="O24" t="s">
        <v>1497</v>
      </c>
      <c r="P24" t="s">
        <v>152</v>
      </c>
      <c r="Q24" t="s">
        <v>155</v>
      </c>
    </row>
    <row r="25" spans="1:17">
      <c r="A25" t="s">
        <v>1517</v>
      </c>
      <c r="B25" t="s">
        <v>148</v>
      </c>
      <c r="C25">
        <v>2627</v>
      </c>
      <c r="D25" t="s">
        <v>1473</v>
      </c>
      <c r="E25" t="s">
        <v>1472</v>
      </c>
      <c r="F25">
        <v>1</v>
      </c>
      <c r="G25">
        <v>1</v>
      </c>
      <c r="H25" s="19">
        <v>46344</v>
      </c>
      <c r="I25" s="7" t="s">
        <v>1466</v>
      </c>
      <c r="J25">
        <v>4</v>
      </c>
      <c r="K25" t="s">
        <v>169</v>
      </c>
      <c r="N25" t="s">
        <v>184</v>
      </c>
      <c r="O25" t="s">
        <v>1497</v>
      </c>
      <c r="P25" t="s">
        <v>167</v>
      </c>
      <c r="Q25" t="s">
        <v>182</v>
      </c>
    </row>
    <row r="26" spans="1:17">
      <c r="A26" t="s">
        <v>1518</v>
      </c>
      <c r="B26" t="s">
        <v>148</v>
      </c>
      <c r="C26">
        <v>2627</v>
      </c>
      <c r="D26" t="s">
        <v>1473</v>
      </c>
      <c r="E26" t="s">
        <v>1472</v>
      </c>
      <c r="F26">
        <v>1</v>
      </c>
      <c r="G26">
        <v>2</v>
      </c>
      <c r="H26" s="19">
        <v>46344</v>
      </c>
      <c r="I26" s="7" t="s">
        <v>1470</v>
      </c>
      <c r="J26">
        <v>1</v>
      </c>
      <c r="K26" t="s">
        <v>172</v>
      </c>
      <c r="N26" t="s">
        <v>181</v>
      </c>
      <c r="O26" t="s">
        <v>1497</v>
      </c>
      <c r="P26" t="s">
        <v>170</v>
      </c>
      <c r="Q26" t="s">
        <v>179</v>
      </c>
    </row>
    <row r="27" spans="1:17">
      <c r="A27" t="s">
        <v>1519</v>
      </c>
      <c r="B27" t="s">
        <v>148</v>
      </c>
      <c r="C27">
        <v>2627</v>
      </c>
      <c r="D27" t="s">
        <v>1473</v>
      </c>
      <c r="E27" t="s">
        <v>1472</v>
      </c>
      <c r="F27">
        <v>1</v>
      </c>
      <c r="G27">
        <v>3</v>
      </c>
      <c r="H27" s="19">
        <v>46344</v>
      </c>
      <c r="I27" s="7" t="s">
        <v>1470</v>
      </c>
      <c r="J27">
        <v>2</v>
      </c>
      <c r="K27" t="s">
        <v>175</v>
      </c>
      <c r="N27" t="s">
        <v>178</v>
      </c>
      <c r="O27" t="s">
        <v>1497</v>
      </c>
      <c r="P27" t="s">
        <v>173</v>
      </c>
      <c r="Q27" t="s">
        <v>176</v>
      </c>
    </row>
    <row r="28" spans="1:17">
      <c r="A28" t="s">
        <v>1520</v>
      </c>
      <c r="B28" t="s">
        <v>148</v>
      </c>
      <c r="C28">
        <v>2627</v>
      </c>
      <c r="D28" t="s">
        <v>1473</v>
      </c>
      <c r="E28" t="s">
        <v>1469</v>
      </c>
      <c r="F28">
        <v>2</v>
      </c>
      <c r="G28">
        <v>1</v>
      </c>
      <c r="H28" s="19">
        <v>46351</v>
      </c>
      <c r="I28" s="7" t="s">
        <v>1466</v>
      </c>
      <c r="J28">
        <v>1</v>
      </c>
      <c r="K28" t="s">
        <v>160</v>
      </c>
      <c r="N28" t="s">
        <v>147</v>
      </c>
      <c r="O28" t="s">
        <v>1497</v>
      </c>
      <c r="P28" t="s">
        <v>158</v>
      </c>
      <c r="Q28" t="s">
        <v>145</v>
      </c>
    </row>
    <row r="29" spans="1:17">
      <c r="A29" t="s">
        <v>1521</v>
      </c>
      <c r="B29" t="s">
        <v>148</v>
      </c>
      <c r="C29">
        <v>2627</v>
      </c>
      <c r="D29" t="s">
        <v>1473</v>
      </c>
      <c r="E29" t="s">
        <v>1469</v>
      </c>
      <c r="F29">
        <v>2</v>
      </c>
      <c r="G29">
        <v>2</v>
      </c>
      <c r="H29" s="19">
        <v>46351</v>
      </c>
      <c r="I29" s="7" t="s">
        <v>1466</v>
      </c>
      <c r="J29">
        <v>2</v>
      </c>
      <c r="K29" t="s">
        <v>157</v>
      </c>
      <c r="N29" t="s">
        <v>163</v>
      </c>
      <c r="O29" t="s">
        <v>1497</v>
      </c>
      <c r="P29" t="s">
        <v>155</v>
      </c>
      <c r="Q29" t="s">
        <v>161</v>
      </c>
    </row>
    <row r="30" spans="1:17">
      <c r="A30" t="s">
        <v>1522</v>
      </c>
      <c r="B30" t="s">
        <v>148</v>
      </c>
      <c r="C30">
        <v>2627</v>
      </c>
      <c r="D30" t="s">
        <v>1473</v>
      </c>
      <c r="E30" t="s">
        <v>1469</v>
      </c>
      <c r="F30">
        <v>2</v>
      </c>
      <c r="G30">
        <v>3</v>
      </c>
      <c r="H30" s="19">
        <v>46351</v>
      </c>
      <c r="I30" s="7" t="s">
        <v>1466</v>
      </c>
      <c r="J30">
        <v>3</v>
      </c>
      <c r="K30" t="s">
        <v>154</v>
      </c>
      <c r="N30" t="s">
        <v>151</v>
      </c>
      <c r="O30" t="s">
        <v>1497</v>
      </c>
      <c r="P30" t="s">
        <v>152</v>
      </c>
      <c r="Q30" t="s">
        <v>149</v>
      </c>
    </row>
    <row r="31" spans="1:17">
      <c r="A31" t="s">
        <v>1523</v>
      </c>
      <c r="B31" t="s">
        <v>148</v>
      </c>
      <c r="C31">
        <v>2627</v>
      </c>
      <c r="D31" t="s">
        <v>1473</v>
      </c>
      <c r="E31" t="s">
        <v>1472</v>
      </c>
      <c r="F31">
        <v>2</v>
      </c>
      <c r="G31">
        <v>1</v>
      </c>
      <c r="H31" s="19">
        <v>46351</v>
      </c>
      <c r="I31" s="7" t="s">
        <v>1466</v>
      </c>
      <c r="J31">
        <v>4</v>
      </c>
      <c r="K31" t="s">
        <v>184</v>
      </c>
      <c r="N31" t="s">
        <v>166</v>
      </c>
      <c r="O31" t="s">
        <v>1497</v>
      </c>
      <c r="P31" t="s">
        <v>182</v>
      </c>
      <c r="Q31" t="s">
        <v>164</v>
      </c>
    </row>
    <row r="32" spans="1:17">
      <c r="A32" t="s">
        <v>1524</v>
      </c>
      <c r="B32" t="s">
        <v>148</v>
      </c>
      <c r="C32">
        <v>2627</v>
      </c>
      <c r="D32" t="s">
        <v>1473</v>
      </c>
      <c r="E32" t="s">
        <v>1472</v>
      </c>
      <c r="F32">
        <v>2</v>
      </c>
      <c r="G32">
        <v>2</v>
      </c>
      <c r="H32" s="19">
        <v>46351</v>
      </c>
      <c r="I32" s="7" t="s">
        <v>1470</v>
      </c>
      <c r="J32">
        <v>1</v>
      </c>
      <c r="K32" t="s">
        <v>178</v>
      </c>
      <c r="N32" t="s">
        <v>169</v>
      </c>
      <c r="O32" t="s">
        <v>1497</v>
      </c>
      <c r="P32" t="s">
        <v>176</v>
      </c>
      <c r="Q32" t="s">
        <v>167</v>
      </c>
    </row>
    <row r="33" spans="1:17">
      <c r="A33" t="s">
        <v>1525</v>
      </c>
      <c r="B33" t="s">
        <v>148</v>
      </c>
      <c r="C33">
        <v>2627</v>
      </c>
      <c r="D33" t="s">
        <v>1473</v>
      </c>
      <c r="E33" t="s">
        <v>1472</v>
      </c>
      <c r="F33">
        <v>2</v>
      </c>
      <c r="G33">
        <v>3</v>
      </c>
      <c r="H33" s="19">
        <v>46351</v>
      </c>
      <c r="I33" s="7" t="s">
        <v>1470</v>
      </c>
      <c r="J33">
        <v>2</v>
      </c>
      <c r="K33" t="s">
        <v>175</v>
      </c>
      <c r="N33" t="s">
        <v>172</v>
      </c>
      <c r="O33" t="s">
        <v>1497</v>
      </c>
      <c r="P33" t="s">
        <v>173</v>
      </c>
      <c r="Q33" t="s">
        <v>170</v>
      </c>
    </row>
    <row r="34" spans="1:17">
      <c r="A34" t="s">
        <v>1526</v>
      </c>
      <c r="B34" t="s">
        <v>148</v>
      </c>
      <c r="C34">
        <v>2627</v>
      </c>
      <c r="D34" t="s">
        <v>1473</v>
      </c>
      <c r="E34" t="s">
        <v>1469</v>
      </c>
      <c r="F34">
        <v>3</v>
      </c>
      <c r="G34">
        <v>1</v>
      </c>
      <c r="H34" s="19">
        <v>46358</v>
      </c>
      <c r="I34" s="7" t="s">
        <v>1466</v>
      </c>
      <c r="J34">
        <v>1</v>
      </c>
      <c r="K34" t="s">
        <v>147</v>
      </c>
      <c r="N34" t="s">
        <v>157</v>
      </c>
      <c r="O34" t="s">
        <v>1497</v>
      </c>
      <c r="P34" t="s">
        <v>145</v>
      </c>
      <c r="Q34" t="s">
        <v>155</v>
      </c>
    </row>
    <row r="35" spans="1:17">
      <c r="A35" t="s">
        <v>1527</v>
      </c>
      <c r="B35" t="s">
        <v>148</v>
      </c>
      <c r="C35">
        <v>2627</v>
      </c>
      <c r="D35" t="s">
        <v>1473</v>
      </c>
      <c r="E35" t="s">
        <v>1469</v>
      </c>
      <c r="F35">
        <v>3</v>
      </c>
      <c r="G35">
        <v>2</v>
      </c>
      <c r="H35" s="19">
        <v>46358</v>
      </c>
      <c r="I35" s="7" t="s">
        <v>1466</v>
      </c>
      <c r="J35">
        <v>2</v>
      </c>
      <c r="K35" t="s">
        <v>160</v>
      </c>
      <c r="N35" t="s">
        <v>154</v>
      </c>
      <c r="O35" t="s">
        <v>1497</v>
      </c>
      <c r="P35" t="s">
        <v>158</v>
      </c>
      <c r="Q35" t="s">
        <v>152</v>
      </c>
    </row>
    <row r="36" spans="1:17">
      <c r="A36" t="s">
        <v>1528</v>
      </c>
      <c r="B36" t="s">
        <v>148</v>
      </c>
      <c r="C36">
        <v>2627</v>
      </c>
      <c r="D36" t="s">
        <v>1473</v>
      </c>
      <c r="E36" t="s">
        <v>1469</v>
      </c>
      <c r="F36">
        <v>3</v>
      </c>
      <c r="G36">
        <v>3</v>
      </c>
      <c r="H36" s="19">
        <v>46358</v>
      </c>
      <c r="I36" s="7" t="s">
        <v>1466</v>
      </c>
      <c r="J36">
        <v>3</v>
      </c>
      <c r="K36" t="s">
        <v>163</v>
      </c>
      <c r="N36" t="s">
        <v>151</v>
      </c>
      <c r="O36" t="s">
        <v>1497</v>
      </c>
      <c r="P36" t="s">
        <v>161</v>
      </c>
      <c r="Q36" t="s">
        <v>149</v>
      </c>
    </row>
    <row r="37" spans="1:17">
      <c r="A37" t="s">
        <v>1529</v>
      </c>
      <c r="B37" t="s">
        <v>148</v>
      </c>
      <c r="C37">
        <v>2627</v>
      </c>
      <c r="D37" t="s">
        <v>1473</v>
      </c>
      <c r="E37" t="s">
        <v>1472</v>
      </c>
      <c r="F37">
        <v>3</v>
      </c>
      <c r="G37">
        <v>1</v>
      </c>
      <c r="H37" s="19">
        <v>46358</v>
      </c>
      <c r="I37" s="7" t="s">
        <v>1466</v>
      </c>
      <c r="J37">
        <v>4</v>
      </c>
      <c r="K37" t="s">
        <v>166</v>
      </c>
      <c r="N37" t="s">
        <v>181</v>
      </c>
      <c r="O37" t="s">
        <v>1497</v>
      </c>
      <c r="P37" t="s">
        <v>164</v>
      </c>
      <c r="Q37" t="s">
        <v>179</v>
      </c>
    </row>
    <row r="38" spans="1:17">
      <c r="A38" t="s">
        <v>1530</v>
      </c>
      <c r="B38" t="s">
        <v>148</v>
      </c>
      <c r="C38">
        <v>2627</v>
      </c>
      <c r="D38" t="s">
        <v>1473</v>
      </c>
      <c r="E38" t="s">
        <v>1472</v>
      </c>
      <c r="F38">
        <v>3</v>
      </c>
      <c r="G38">
        <v>2</v>
      </c>
      <c r="H38" s="19">
        <v>46358</v>
      </c>
      <c r="I38" s="7" t="s">
        <v>1470</v>
      </c>
      <c r="J38">
        <v>1</v>
      </c>
      <c r="K38" t="s">
        <v>184</v>
      </c>
      <c r="N38" t="s">
        <v>178</v>
      </c>
      <c r="O38" t="s">
        <v>1497</v>
      </c>
      <c r="P38" t="s">
        <v>182</v>
      </c>
      <c r="Q38" t="s">
        <v>176</v>
      </c>
    </row>
    <row r="39" spans="1:17">
      <c r="A39" t="s">
        <v>1531</v>
      </c>
      <c r="B39" t="s">
        <v>148</v>
      </c>
      <c r="C39">
        <v>2627</v>
      </c>
      <c r="D39" t="s">
        <v>1473</v>
      </c>
      <c r="E39" t="s">
        <v>1472</v>
      </c>
      <c r="F39">
        <v>3</v>
      </c>
      <c r="G39">
        <v>3</v>
      </c>
      <c r="H39" s="19">
        <v>46358</v>
      </c>
      <c r="I39" s="7" t="s">
        <v>1470</v>
      </c>
      <c r="J39">
        <v>2</v>
      </c>
      <c r="K39" t="s">
        <v>169</v>
      </c>
      <c r="N39" t="s">
        <v>172</v>
      </c>
      <c r="O39" t="s">
        <v>1497</v>
      </c>
      <c r="P39" t="s">
        <v>167</v>
      </c>
      <c r="Q39" t="s">
        <v>170</v>
      </c>
    </row>
    <row r="40" spans="1:17">
      <c r="A40" t="s">
        <v>1532</v>
      </c>
      <c r="B40" t="s">
        <v>148</v>
      </c>
      <c r="C40">
        <v>2627</v>
      </c>
      <c r="D40" t="s">
        <v>1473</v>
      </c>
      <c r="E40" t="s">
        <v>1469</v>
      </c>
      <c r="F40">
        <v>4</v>
      </c>
      <c r="G40">
        <v>1</v>
      </c>
      <c r="H40" s="19">
        <v>46365</v>
      </c>
      <c r="I40" s="7" t="s">
        <v>1466</v>
      </c>
      <c r="J40">
        <v>1</v>
      </c>
      <c r="K40" t="s">
        <v>154</v>
      </c>
      <c r="N40" t="s">
        <v>147</v>
      </c>
      <c r="O40" t="s">
        <v>1497</v>
      </c>
      <c r="P40" t="s">
        <v>152</v>
      </c>
      <c r="Q40" t="s">
        <v>145</v>
      </c>
    </row>
    <row r="41" spans="1:17">
      <c r="A41" t="s">
        <v>1533</v>
      </c>
      <c r="B41" t="s">
        <v>148</v>
      </c>
      <c r="C41">
        <v>2627</v>
      </c>
      <c r="D41" t="s">
        <v>1473</v>
      </c>
      <c r="E41" t="s">
        <v>1469</v>
      </c>
      <c r="F41">
        <v>4</v>
      </c>
      <c r="G41">
        <v>2</v>
      </c>
      <c r="H41" s="19">
        <v>46365</v>
      </c>
      <c r="I41" s="7" t="s">
        <v>1466</v>
      </c>
      <c r="J41">
        <v>2</v>
      </c>
      <c r="K41" t="s">
        <v>151</v>
      </c>
      <c r="N41" t="s">
        <v>157</v>
      </c>
      <c r="O41" t="s">
        <v>1497</v>
      </c>
      <c r="P41" t="s">
        <v>149</v>
      </c>
      <c r="Q41" t="s">
        <v>155</v>
      </c>
    </row>
    <row r="42" spans="1:17">
      <c r="A42" t="s">
        <v>1534</v>
      </c>
      <c r="B42" t="s">
        <v>148</v>
      </c>
      <c r="C42">
        <v>2627</v>
      </c>
      <c r="D42" t="s">
        <v>1473</v>
      </c>
      <c r="E42" t="s">
        <v>1469</v>
      </c>
      <c r="F42">
        <v>4</v>
      </c>
      <c r="G42">
        <v>3</v>
      </c>
      <c r="H42" s="19">
        <v>46365</v>
      </c>
      <c r="I42" s="7" t="s">
        <v>1466</v>
      </c>
      <c r="J42">
        <v>3</v>
      </c>
      <c r="K42" t="s">
        <v>163</v>
      </c>
      <c r="N42" t="s">
        <v>160</v>
      </c>
      <c r="O42" t="s">
        <v>1497</v>
      </c>
      <c r="P42" t="s">
        <v>161</v>
      </c>
      <c r="Q42" t="s">
        <v>158</v>
      </c>
    </row>
    <row r="43" spans="1:17">
      <c r="A43" t="s">
        <v>1535</v>
      </c>
      <c r="B43" t="s">
        <v>148</v>
      </c>
      <c r="C43">
        <v>2627</v>
      </c>
      <c r="D43" t="s">
        <v>1473</v>
      </c>
      <c r="E43" t="s">
        <v>1472</v>
      </c>
      <c r="F43">
        <v>4</v>
      </c>
      <c r="G43">
        <v>1</v>
      </c>
      <c r="H43" s="19">
        <v>46365</v>
      </c>
      <c r="I43" s="7" t="s">
        <v>1466</v>
      </c>
      <c r="J43">
        <v>4</v>
      </c>
      <c r="K43" t="s">
        <v>178</v>
      </c>
      <c r="N43" t="s">
        <v>166</v>
      </c>
      <c r="O43" t="s">
        <v>1497</v>
      </c>
      <c r="P43" t="s">
        <v>176</v>
      </c>
      <c r="Q43" t="s">
        <v>164</v>
      </c>
    </row>
    <row r="44" spans="1:17">
      <c r="A44" t="s">
        <v>1536</v>
      </c>
      <c r="B44" t="s">
        <v>148</v>
      </c>
      <c r="C44">
        <v>2627</v>
      </c>
      <c r="D44" t="s">
        <v>1473</v>
      </c>
      <c r="E44" t="s">
        <v>1472</v>
      </c>
      <c r="F44">
        <v>4</v>
      </c>
      <c r="G44">
        <v>2</v>
      </c>
      <c r="H44" s="19">
        <v>46365</v>
      </c>
      <c r="I44" s="7" t="s">
        <v>1470</v>
      </c>
      <c r="J44">
        <v>1</v>
      </c>
      <c r="K44" t="s">
        <v>175</v>
      </c>
      <c r="N44" t="s">
        <v>181</v>
      </c>
      <c r="O44" t="s">
        <v>1497</v>
      </c>
      <c r="P44" t="s">
        <v>173</v>
      </c>
      <c r="Q44" t="s">
        <v>179</v>
      </c>
    </row>
    <row r="45" spans="1:17">
      <c r="A45" t="s">
        <v>1537</v>
      </c>
      <c r="B45" t="s">
        <v>148</v>
      </c>
      <c r="C45">
        <v>2627</v>
      </c>
      <c r="D45" t="s">
        <v>1473</v>
      </c>
      <c r="E45" t="s">
        <v>1472</v>
      </c>
      <c r="F45">
        <v>4</v>
      </c>
      <c r="G45">
        <v>3</v>
      </c>
      <c r="H45" s="19">
        <v>46365</v>
      </c>
      <c r="I45" s="7" t="s">
        <v>1470</v>
      </c>
      <c r="J45">
        <v>2</v>
      </c>
      <c r="K45" t="s">
        <v>172</v>
      </c>
      <c r="N45" t="s">
        <v>184</v>
      </c>
      <c r="O45" t="s">
        <v>1497</v>
      </c>
      <c r="P45" t="s">
        <v>170</v>
      </c>
      <c r="Q45" t="s">
        <v>182</v>
      </c>
    </row>
    <row r="46" spans="1:17">
      <c r="A46" t="s">
        <v>1538</v>
      </c>
      <c r="B46" t="s">
        <v>148</v>
      </c>
      <c r="C46">
        <v>2627</v>
      </c>
      <c r="D46" t="s">
        <v>1473</v>
      </c>
      <c r="E46" t="s">
        <v>1469</v>
      </c>
      <c r="F46">
        <v>5</v>
      </c>
      <c r="G46">
        <v>1</v>
      </c>
      <c r="H46" s="19">
        <v>46372</v>
      </c>
      <c r="I46" s="7" t="s">
        <v>1466</v>
      </c>
      <c r="J46">
        <v>1</v>
      </c>
      <c r="K46" t="s">
        <v>147</v>
      </c>
      <c r="N46" t="s">
        <v>151</v>
      </c>
      <c r="O46" t="s">
        <v>1497</v>
      </c>
      <c r="P46" t="s">
        <v>145</v>
      </c>
      <c r="Q46" t="s">
        <v>149</v>
      </c>
    </row>
    <row r="47" spans="1:17">
      <c r="A47" t="s">
        <v>1539</v>
      </c>
      <c r="B47" t="s">
        <v>148</v>
      </c>
      <c r="C47">
        <v>2627</v>
      </c>
      <c r="D47" t="s">
        <v>1473</v>
      </c>
      <c r="E47" t="s">
        <v>1469</v>
      </c>
      <c r="F47">
        <v>5</v>
      </c>
      <c r="G47">
        <v>2</v>
      </c>
      <c r="H47" s="19">
        <v>46372</v>
      </c>
      <c r="I47" s="7" t="s">
        <v>1466</v>
      </c>
      <c r="J47">
        <v>2</v>
      </c>
      <c r="K47" t="s">
        <v>154</v>
      </c>
      <c r="N47" t="s">
        <v>163</v>
      </c>
      <c r="O47" t="s">
        <v>1497</v>
      </c>
      <c r="P47" t="s">
        <v>152</v>
      </c>
      <c r="Q47" t="s">
        <v>161</v>
      </c>
    </row>
    <row r="48" spans="1:17">
      <c r="A48" t="s">
        <v>1540</v>
      </c>
      <c r="B48" t="s">
        <v>148</v>
      </c>
      <c r="C48">
        <v>2627</v>
      </c>
      <c r="D48" t="s">
        <v>1473</v>
      </c>
      <c r="E48" t="s">
        <v>1469</v>
      </c>
      <c r="F48">
        <v>5</v>
      </c>
      <c r="G48">
        <v>3</v>
      </c>
      <c r="H48" s="19">
        <v>46372</v>
      </c>
      <c r="I48" s="7" t="s">
        <v>1466</v>
      </c>
      <c r="J48">
        <v>3</v>
      </c>
      <c r="K48" t="s">
        <v>157</v>
      </c>
      <c r="N48" t="s">
        <v>160</v>
      </c>
      <c r="O48" t="s">
        <v>1497</v>
      </c>
      <c r="P48" t="s">
        <v>155</v>
      </c>
      <c r="Q48" t="s">
        <v>158</v>
      </c>
    </row>
    <row r="49" spans="1:17">
      <c r="A49" t="s">
        <v>1541</v>
      </c>
      <c r="B49" t="s">
        <v>148</v>
      </c>
      <c r="C49">
        <v>2627</v>
      </c>
      <c r="D49" t="s">
        <v>1473</v>
      </c>
      <c r="E49" t="s">
        <v>1472</v>
      </c>
      <c r="F49">
        <v>5</v>
      </c>
      <c r="G49">
        <v>1</v>
      </c>
      <c r="H49" s="19">
        <v>46372</v>
      </c>
      <c r="I49" s="7" t="s">
        <v>1466</v>
      </c>
      <c r="J49">
        <v>4</v>
      </c>
      <c r="K49" t="s">
        <v>166</v>
      </c>
      <c r="N49" t="s">
        <v>175</v>
      </c>
      <c r="O49" t="s">
        <v>1497</v>
      </c>
      <c r="P49" t="s">
        <v>164</v>
      </c>
      <c r="Q49" t="s">
        <v>173</v>
      </c>
    </row>
    <row r="50" spans="1:17">
      <c r="A50" t="s">
        <v>1542</v>
      </c>
      <c r="B50" t="s">
        <v>148</v>
      </c>
      <c r="C50">
        <v>2627</v>
      </c>
      <c r="D50" t="s">
        <v>1473</v>
      </c>
      <c r="E50" t="s">
        <v>1472</v>
      </c>
      <c r="F50">
        <v>5</v>
      </c>
      <c r="G50">
        <v>2</v>
      </c>
      <c r="H50" s="19">
        <v>46372</v>
      </c>
      <c r="I50" s="7" t="s">
        <v>1470</v>
      </c>
      <c r="J50">
        <v>1</v>
      </c>
      <c r="K50" t="s">
        <v>178</v>
      </c>
      <c r="N50" t="s">
        <v>172</v>
      </c>
      <c r="O50" t="s">
        <v>1497</v>
      </c>
      <c r="P50" t="s">
        <v>176</v>
      </c>
      <c r="Q50" t="s">
        <v>170</v>
      </c>
    </row>
    <row r="51" spans="1:17">
      <c r="A51" t="s">
        <v>1543</v>
      </c>
      <c r="B51" t="s">
        <v>148</v>
      </c>
      <c r="C51">
        <v>2627</v>
      </c>
      <c r="D51" t="s">
        <v>1473</v>
      </c>
      <c r="E51" t="s">
        <v>1472</v>
      </c>
      <c r="F51">
        <v>5</v>
      </c>
      <c r="G51">
        <v>3</v>
      </c>
      <c r="H51" s="19">
        <v>46372</v>
      </c>
      <c r="I51" s="7" t="s">
        <v>1470</v>
      </c>
      <c r="J51">
        <v>2</v>
      </c>
      <c r="K51" t="s">
        <v>181</v>
      </c>
      <c r="N51" t="s">
        <v>169</v>
      </c>
      <c r="O51" t="s">
        <v>1497</v>
      </c>
      <c r="P51" t="s">
        <v>179</v>
      </c>
      <c r="Q51" t="s">
        <v>167</v>
      </c>
    </row>
    <row r="52" spans="1:17">
      <c r="A52" t="s">
        <v>1544</v>
      </c>
      <c r="B52" t="s">
        <v>148</v>
      </c>
      <c r="C52">
        <v>2627</v>
      </c>
      <c r="D52" t="s">
        <v>1473</v>
      </c>
      <c r="E52" t="s">
        <v>1469</v>
      </c>
      <c r="F52">
        <v>6</v>
      </c>
      <c r="G52">
        <v>1</v>
      </c>
      <c r="H52" s="19">
        <v>46400</v>
      </c>
      <c r="I52" s="7" t="s">
        <v>1466</v>
      </c>
      <c r="J52">
        <v>1</v>
      </c>
      <c r="K52" t="s">
        <v>163</v>
      </c>
      <c r="N52" t="s">
        <v>147</v>
      </c>
      <c r="O52" t="s">
        <v>1497</v>
      </c>
      <c r="P52" t="s">
        <v>161</v>
      </c>
      <c r="Q52" t="s">
        <v>145</v>
      </c>
    </row>
    <row r="53" spans="1:17">
      <c r="A53" t="s">
        <v>1545</v>
      </c>
      <c r="B53" t="s">
        <v>148</v>
      </c>
      <c r="C53">
        <v>2627</v>
      </c>
      <c r="D53" t="s">
        <v>1473</v>
      </c>
      <c r="E53" t="s">
        <v>1469</v>
      </c>
      <c r="F53">
        <v>6</v>
      </c>
      <c r="G53">
        <v>2</v>
      </c>
      <c r="H53" s="19">
        <v>46400</v>
      </c>
      <c r="I53" s="7" t="s">
        <v>1466</v>
      </c>
      <c r="J53">
        <v>2</v>
      </c>
      <c r="K53" t="s">
        <v>160</v>
      </c>
      <c r="N53" t="s">
        <v>151</v>
      </c>
      <c r="O53" t="s">
        <v>1497</v>
      </c>
      <c r="P53" t="s">
        <v>158</v>
      </c>
      <c r="Q53" t="s">
        <v>149</v>
      </c>
    </row>
    <row r="54" spans="1:17">
      <c r="A54" t="s">
        <v>1546</v>
      </c>
      <c r="B54" t="s">
        <v>148</v>
      </c>
      <c r="C54">
        <v>2627</v>
      </c>
      <c r="D54" t="s">
        <v>1473</v>
      </c>
      <c r="E54" t="s">
        <v>1469</v>
      </c>
      <c r="F54">
        <v>6</v>
      </c>
      <c r="G54">
        <v>3</v>
      </c>
      <c r="H54" s="19">
        <v>46400</v>
      </c>
      <c r="I54" s="7" t="s">
        <v>1466</v>
      </c>
      <c r="J54">
        <v>3</v>
      </c>
      <c r="K54" t="s">
        <v>157</v>
      </c>
      <c r="N54" t="s">
        <v>154</v>
      </c>
      <c r="O54" t="s">
        <v>1497</v>
      </c>
      <c r="P54" t="s">
        <v>155</v>
      </c>
      <c r="Q54" t="s">
        <v>152</v>
      </c>
    </row>
    <row r="55" spans="1:17">
      <c r="A55" t="s">
        <v>1547</v>
      </c>
      <c r="B55" t="s">
        <v>148</v>
      </c>
      <c r="C55">
        <v>2627</v>
      </c>
      <c r="D55" t="s">
        <v>1473</v>
      </c>
      <c r="E55" t="s">
        <v>1472</v>
      </c>
      <c r="F55">
        <v>6</v>
      </c>
      <c r="G55">
        <v>1</v>
      </c>
      <c r="H55" s="19">
        <v>46400</v>
      </c>
      <c r="I55" s="7" t="s">
        <v>1466</v>
      </c>
      <c r="J55">
        <v>4</v>
      </c>
      <c r="K55" t="s">
        <v>172</v>
      </c>
      <c r="N55" t="s">
        <v>166</v>
      </c>
      <c r="O55" t="s">
        <v>1497</v>
      </c>
      <c r="P55" t="s">
        <v>170</v>
      </c>
      <c r="Q55" t="s">
        <v>164</v>
      </c>
    </row>
    <row r="56" spans="1:17">
      <c r="A56" t="s">
        <v>1548</v>
      </c>
      <c r="B56" t="s">
        <v>148</v>
      </c>
      <c r="C56">
        <v>2627</v>
      </c>
      <c r="D56" t="s">
        <v>1473</v>
      </c>
      <c r="E56" t="s">
        <v>1472</v>
      </c>
      <c r="F56">
        <v>6</v>
      </c>
      <c r="G56">
        <v>2</v>
      </c>
      <c r="H56" s="19">
        <v>46400</v>
      </c>
      <c r="I56" s="7" t="s">
        <v>1470</v>
      </c>
      <c r="J56">
        <v>1</v>
      </c>
      <c r="K56" t="s">
        <v>169</v>
      </c>
      <c r="N56" t="s">
        <v>175</v>
      </c>
      <c r="O56" t="s">
        <v>1497</v>
      </c>
      <c r="P56" t="s">
        <v>167</v>
      </c>
      <c r="Q56" t="s">
        <v>173</v>
      </c>
    </row>
    <row r="57" spans="1:17">
      <c r="A57" t="s">
        <v>1549</v>
      </c>
      <c r="B57" t="s">
        <v>148</v>
      </c>
      <c r="C57">
        <v>2627</v>
      </c>
      <c r="D57" t="s">
        <v>1473</v>
      </c>
      <c r="E57" t="s">
        <v>1472</v>
      </c>
      <c r="F57">
        <v>6</v>
      </c>
      <c r="G57">
        <v>3</v>
      </c>
      <c r="H57" s="19">
        <v>46400</v>
      </c>
      <c r="I57" s="7" t="s">
        <v>1470</v>
      </c>
      <c r="J57">
        <v>2</v>
      </c>
      <c r="K57" t="s">
        <v>184</v>
      </c>
      <c r="N57" t="s">
        <v>181</v>
      </c>
      <c r="O57" t="s">
        <v>1497</v>
      </c>
      <c r="P57" t="s">
        <v>182</v>
      </c>
      <c r="Q57" t="s">
        <v>179</v>
      </c>
    </row>
    <row r="58" spans="1:17">
      <c r="A58" t="s">
        <v>1550</v>
      </c>
      <c r="B58" t="s">
        <v>148</v>
      </c>
      <c r="C58">
        <v>2627</v>
      </c>
      <c r="D58" t="s">
        <v>1473</v>
      </c>
      <c r="E58" t="s">
        <v>1469</v>
      </c>
      <c r="F58">
        <v>7</v>
      </c>
      <c r="G58">
        <v>1</v>
      </c>
      <c r="H58" s="19">
        <v>46407</v>
      </c>
      <c r="I58" s="7" t="s">
        <v>1466</v>
      </c>
      <c r="J58">
        <v>1</v>
      </c>
      <c r="K58" t="s">
        <v>147</v>
      </c>
      <c r="N58" t="s">
        <v>160</v>
      </c>
      <c r="O58" t="s">
        <v>1497</v>
      </c>
      <c r="P58" t="s">
        <v>145</v>
      </c>
      <c r="Q58" t="s">
        <v>158</v>
      </c>
    </row>
    <row r="59" spans="1:17">
      <c r="A59" t="s">
        <v>1551</v>
      </c>
      <c r="B59" t="s">
        <v>148</v>
      </c>
      <c r="C59">
        <v>2627</v>
      </c>
      <c r="D59" t="s">
        <v>1473</v>
      </c>
      <c r="E59" t="s">
        <v>1469</v>
      </c>
      <c r="F59">
        <v>7</v>
      </c>
      <c r="G59">
        <v>2</v>
      </c>
      <c r="H59" s="19">
        <v>46407</v>
      </c>
      <c r="I59" s="7" t="s">
        <v>1466</v>
      </c>
      <c r="J59">
        <v>2</v>
      </c>
      <c r="K59" t="s">
        <v>163</v>
      </c>
      <c r="N59" t="s">
        <v>157</v>
      </c>
      <c r="O59" t="s">
        <v>1497</v>
      </c>
      <c r="P59" t="s">
        <v>161</v>
      </c>
      <c r="Q59" t="s">
        <v>155</v>
      </c>
    </row>
    <row r="60" spans="1:17">
      <c r="A60" t="s">
        <v>1552</v>
      </c>
      <c r="B60" t="s">
        <v>148</v>
      </c>
      <c r="C60">
        <v>2627</v>
      </c>
      <c r="D60" t="s">
        <v>1473</v>
      </c>
      <c r="E60" t="s">
        <v>1469</v>
      </c>
      <c r="F60">
        <v>7</v>
      </c>
      <c r="G60">
        <v>3</v>
      </c>
      <c r="H60" s="19">
        <v>46407</v>
      </c>
      <c r="I60" s="7" t="s">
        <v>1466</v>
      </c>
      <c r="J60">
        <v>3</v>
      </c>
      <c r="K60" t="s">
        <v>151</v>
      </c>
      <c r="N60" t="s">
        <v>154</v>
      </c>
      <c r="O60" t="s">
        <v>1497</v>
      </c>
      <c r="P60" t="s">
        <v>149</v>
      </c>
      <c r="Q60" t="s">
        <v>152</v>
      </c>
    </row>
    <row r="61" spans="1:17">
      <c r="A61" t="s">
        <v>1553</v>
      </c>
      <c r="B61" t="s">
        <v>148</v>
      </c>
      <c r="C61">
        <v>2627</v>
      </c>
      <c r="D61" t="s">
        <v>1473</v>
      </c>
      <c r="E61" t="s">
        <v>1472</v>
      </c>
      <c r="F61">
        <v>7</v>
      </c>
      <c r="G61">
        <v>1</v>
      </c>
      <c r="H61" s="19">
        <v>46407</v>
      </c>
      <c r="I61" s="7" t="s">
        <v>1466</v>
      </c>
      <c r="J61">
        <v>4</v>
      </c>
      <c r="K61" t="s">
        <v>166</v>
      </c>
      <c r="N61" t="s">
        <v>169</v>
      </c>
      <c r="O61" t="s">
        <v>1497</v>
      </c>
      <c r="P61" t="s">
        <v>164</v>
      </c>
      <c r="Q61" t="s">
        <v>167</v>
      </c>
    </row>
    <row r="62" spans="1:17">
      <c r="A62" t="s">
        <v>1554</v>
      </c>
      <c r="B62" t="s">
        <v>148</v>
      </c>
      <c r="C62">
        <v>2627</v>
      </c>
      <c r="D62" t="s">
        <v>1473</v>
      </c>
      <c r="E62" t="s">
        <v>1472</v>
      </c>
      <c r="F62">
        <v>7</v>
      </c>
      <c r="G62">
        <v>2</v>
      </c>
      <c r="H62" s="19">
        <v>46407</v>
      </c>
      <c r="I62" s="7" t="s">
        <v>1470</v>
      </c>
      <c r="J62">
        <v>1</v>
      </c>
      <c r="K62" t="s">
        <v>175</v>
      </c>
      <c r="N62" t="s">
        <v>184</v>
      </c>
      <c r="O62" t="s">
        <v>1497</v>
      </c>
      <c r="P62" t="s">
        <v>173</v>
      </c>
      <c r="Q62" t="s">
        <v>182</v>
      </c>
    </row>
    <row r="63" spans="1:17">
      <c r="A63" t="s">
        <v>1555</v>
      </c>
      <c r="B63" t="s">
        <v>148</v>
      </c>
      <c r="C63">
        <v>2627</v>
      </c>
      <c r="D63" t="s">
        <v>1473</v>
      </c>
      <c r="E63" t="s">
        <v>1472</v>
      </c>
      <c r="F63">
        <v>7</v>
      </c>
      <c r="G63">
        <v>3</v>
      </c>
      <c r="H63" s="19">
        <v>46407</v>
      </c>
      <c r="I63" s="7" t="s">
        <v>1470</v>
      </c>
      <c r="J63">
        <v>2</v>
      </c>
      <c r="K63" t="s">
        <v>178</v>
      </c>
      <c r="N63" t="s">
        <v>181</v>
      </c>
      <c r="O63" t="s">
        <v>1497</v>
      </c>
      <c r="P63" t="s">
        <v>176</v>
      </c>
      <c r="Q63" t="s">
        <v>179</v>
      </c>
    </row>
    <row r="64" spans="1:17">
      <c r="A64" t="s">
        <v>1556</v>
      </c>
      <c r="B64" t="s">
        <v>188</v>
      </c>
      <c r="C64">
        <v>2627</v>
      </c>
      <c r="D64" t="s">
        <v>1475</v>
      </c>
      <c r="E64" t="s">
        <v>1469</v>
      </c>
      <c r="F64">
        <v>1</v>
      </c>
      <c r="G64">
        <v>1</v>
      </c>
      <c r="H64" s="19">
        <v>46331</v>
      </c>
      <c r="I64" s="7" t="s">
        <v>1466</v>
      </c>
      <c r="J64">
        <v>1</v>
      </c>
      <c r="K64" t="s">
        <v>187</v>
      </c>
      <c r="N64" t="s">
        <v>207</v>
      </c>
      <c r="O64" t="s">
        <v>1497</v>
      </c>
      <c r="P64" t="s">
        <v>185</v>
      </c>
      <c r="Q64" t="s">
        <v>205</v>
      </c>
    </row>
    <row r="65" spans="1:17">
      <c r="A65" t="s">
        <v>1557</v>
      </c>
      <c r="B65" t="s">
        <v>188</v>
      </c>
      <c r="C65">
        <v>2627</v>
      </c>
      <c r="D65" t="s">
        <v>1475</v>
      </c>
      <c r="E65" t="s">
        <v>1469</v>
      </c>
      <c r="F65">
        <v>1</v>
      </c>
      <c r="G65">
        <v>2</v>
      </c>
      <c r="H65" s="19">
        <v>46331</v>
      </c>
      <c r="I65" s="7" t="s">
        <v>1466</v>
      </c>
      <c r="J65">
        <v>2</v>
      </c>
      <c r="K65" t="s">
        <v>191</v>
      </c>
      <c r="N65" t="s">
        <v>204</v>
      </c>
      <c r="O65" t="s">
        <v>1497</v>
      </c>
      <c r="P65" t="s">
        <v>189</v>
      </c>
      <c r="Q65" t="s">
        <v>202</v>
      </c>
    </row>
    <row r="66" spans="1:17">
      <c r="A66" t="s">
        <v>1558</v>
      </c>
      <c r="B66" t="s">
        <v>188</v>
      </c>
      <c r="C66">
        <v>2627</v>
      </c>
      <c r="D66" t="s">
        <v>1475</v>
      </c>
      <c r="E66" t="s">
        <v>1469</v>
      </c>
      <c r="F66">
        <v>1</v>
      </c>
      <c r="G66">
        <v>3</v>
      </c>
      <c r="H66" s="19">
        <v>46331</v>
      </c>
      <c r="I66" s="7" t="s">
        <v>1466</v>
      </c>
      <c r="J66">
        <v>3</v>
      </c>
      <c r="K66" t="s">
        <v>194</v>
      </c>
      <c r="N66" t="s">
        <v>201</v>
      </c>
      <c r="O66" t="s">
        <v>1497</v>
      </c>
      <c r="P66" t="s">
        <v>192</v>
      </c>
      <c r="Q66" t="s">
        <v>199</v>
      </c>
    </row>
    <row r="67" spans="1:17">
      <c r="A67" t="s">
        <v>1559</v>
      </c>
      <c r="B67" t="s">
        <v>188</v>
      </c>
      <c r="C67">
        <v>2627</v>
      </c>
      <c r="D67" t="s">
        <v>1475</v>
      </c>
      <c r="E67" t="s">
        <v>1469</v>
      </c>
      <c r="F67">
        <v>1</v>
      </c>
      <c r="G67">
        <v>4</v>
      </c>
      <c r="H67" s="19">
        <v>46331</v>
      </c>
      <c r="I67" s="7" t="s">
        <v>1466</v>
      </c>
      <c r="J67">
        <v>4</v>
      </c>
      <c r="K67" t="s">
        <v>195</v>
      </c>
      <c r="N67" t="s">
        <v>198</v>
      </c>
      <c r="O67" t="s">
        <v>1497</v>
      </c>
      <c r="P67" t="s">
        <v>28</v>
      </c>
      <c r="Q67" t="s">
        <v>196</v>
      </c>
    </row>
    <row r="68" spans="1:17">
      <c r="A68" t="s">
        <v>1560</v>
      </c>
      <c r="B68" t="s">
        <v>188</v>
      </c>
      <c r="C68">
        <v>2627</v>
      </c>
      <c r="D68" t="s">
        <v>1475</v>
      </c>
      <c r="E68" t="s">
        <v>1472</v>
      </c>
      <c r="F68">
        <v>1</v>
      </c>
      <c r="G68">
        <v>1</v>
      </c>
      <c r="H68" s="19">
        <v>46331</v>
      </c>
      <c r="I68" s="7" t="s">
        <v>1470</v>
      </c>
      <c r="J68">
        <v>1</v>
      </c>
      <c r="K68" t="s">
        <v>213</v>
      </c>
      <c r="N68" t="s">
        <v>227</v>
      </c>
      <c r="O68" t="s">
        <v>1497</v>
      </c>
      <c r="P68" t="s">
        <v>211</v>
      </c>
      <c r="Q68" t="s">
        <v>226</v>
      </c>
    </row>
    <row r="69" spans="1:17">
      <c r="A69" t="s">
        <v>1561</v>
      </c>
      <c r="B69" t="s">
        <v>188</v>
      </c>
      <c r="C69">
        <v>2627</v>
      </c>
      <c r="D69" t="s">
        <v>1475</v>
      </c>
      <c r="E69" t="s">
        <v>1472</v>
      </c>
      <c r="F69">
        <v>1</v>
      </c>
      <c r="G69">
        <v>2</v>
      </c>
      <c r="H69" s="19">
        <v>46331</v>
      </c>
      <c r="I69" s="7" t="s">
        <v>1470</v>
      </c>
      <c r="J69">
        <v>2</v>
      </c>
      <c r="K69" t="s">
        <v>216</v>
      </c>
      <c r="N69" t="s">
        <v>225</v>
      </c>
      <c r="O69" t="s">
        <v>1497</v>
      </c>
      <c r="P69" t="s">
        <v>214</v>
      </c>
      <c r="Q69" t="s">
        <v>223</v>
      </c>
    </row>
    <row r="70" spans="1:17">
      <c r="A70" t="s">
        <v>1562</v>
      </c>
      <c r="B70" t="s">
        <v>188</v>
      </c>
      <c r="C70">
        <v>2627</v>
      </c>
      <c r="D70" t="s">
        <v>1475</v>
      </c>
      <c r="E70" t="s">
        <v>1472</v>
      </c>
      <c r="F70">
        <v>1</v>
      </c>
      <c r="G70">
        <v>3</v>
      </c>
      <c r="H70" s="19">
        <v>46331</v>
      </c>
      <c r="I70" s="7" t="s">
        <v>1470</v>
      </c>
      <c r="J70">
        <v>3</v>
      </c>
      <c r="K70" t="s">
        <v>219</v>
      </c>
      <c r="N70" t="s">
        <v>222</v>
      </c>
      <c r="O70" t="s">
        <v>1497</v>
      </c>
      <c r="P70" t="s">
        <v>217</v>
      </c>
      <c r="Q70" t="s">
        <v>220</v>
      </c>
    </row>
    <row r="71" spans="1:17">
      <c r="A71" t="s">
        <v>1563</v>
      </c>
      <c r="B71" t="s">
        <v>188</v>
      </c>
      <c r="C71">
        <v>2627</v>
      </c>
      <c r="D71" t="s">
        <v>1475</v>
      </c>
      <c r="E71" t="s">
        <v>1469</v>
      </c>
      <c r="F71">
        <v>2</v>
      </c>
      <c r="G71">
        <v>1</v>
      </c>
      <c r="H71" s="19">
        <v>46338</v>
      </c>
      <c r="I71" s="7" t="s">
        <v>1466</v>
      </c>
      <c r="J71">
        <v>1</v>
      </c>
      <c r="K71" t="s">
        <v>204</v>
      </c>
      <c r="N71" t="s">
        <v>187</v>
      </c>
      <c r="O71" t="s">
        <v>1497</v>
      </c>
      <c r="P71" t="s">
        <v>202</v>
      </c>
      <c r="Q71" t="s">
        <v>185</v>
      </c>
    </row>
    <row r="72" spans="1:17">
      <c r="A72" t="s">
        <v>1564</v>
      </c>
      <c r="B72" t="s">
        <v>188</v>
      </c>
      <c r="C72">
        <v>2627</v>
      </c>
      <c r="D72" t="s">
        <v>1475</v>
      </c>
      <c r="E72" t="s">
        <v>1469</v>
      </c>
      <c r="F72">
        <v>2</v>
      </c>
      <c r="G72">
        <v>2</v>
      </c>
      <c r="H72" s="19">
        <v>46338</v>
      </c>
      <c r="I72" s="7" t="s">
        <v>1466</v>
      </c>
      <c r="J72">
        <v>2</v>
      </c>
      <c r="K72" t="s">
        <v>201</v>
      </c>
      <c r="N72" t="s">
        <v>207</v>
      </c>
      <c r="O72" t="s">
        <v>1497</v>
      </c>
      <c r="P72" t="s">
        <v>199</v>
      </c>
      <c r="Q72" t="s">
        <v>205</v>
      </c>
    </row>
    <row r="73" spans="1:17">
      <c r="A73" t="s">
        <v>1565</v>
      </c>
      <c r="B73" t="s">
        <v>188</v>
      </c>
      <c r="C73">
        <v>2627</v>
      </c>
      <c r="D73" t="s">
        <v>1475</v>
      </c>
      <c r="E73" t="s">
        <v>1469</v>
      </c>
      <c r="F73">
        <v>2</v>
      </c>
      <c r="G73">
        <v>3</v>
      </c>
      <c r="H73" s="19">
        <v>46338</v>
      </c>
      <c r="I73" s="7" t="s">
        <v>1466</v>
      </c>
      <c r="J73">
        <v>3</v>
      </c>
      <c r="K73" t="s">
        <v>198</v>
      </c>
      <c r="N73" t="s">
        <v>191</v>
      </c>
      <c r="O73" t="s">
        <v>1497</v>
      </c>
      <c r="P73" t="s">
        <v>196</v>
      </c>
      <c r="Q73" t="s">
        <v>189</v>
      </c>
    </row>
    <row r="74" spans="1:17">
      <c r="A74" t="s">
        <v>1566</v>
      </c>
      <c r="B74" t="s">
        <v>188</v>
      </c>
      <c r="C74">
        <v>2627</v>
      </c>
      <c r="D74" t="s">
        <v>1475</v>
      </c>
      <c r="E74" t="s">
        <v>1469</v>
      </c>
      <c r="F74">
        <v>2</v>
      </c>
      <c r="G74">
        <v>4</v>
      </c>
      <c r="H74" s="19">
        <v>46338</v>
      </c>
      <c r="I74" s="7" t="s">
        <v>1466</v>
      </c>
      <c r="J74">
        <v>4</v>
      </c>
      <c r="K74" t="s">
        <v>195</v>
      </c>
      <c r="N74" t="s">
        <v>194</v>
      </c>
      <c r="O74" t="s">
        <v>1497</v>
      </c>
      <c r="P74" t="s">
        <v>28</v>
      </c>
      <c r="Q74" t="s">
        <v>192</v>
      </c>
    </row>
    <row r="75" spans="1:17">
      <c r="A75" t="s">
        <v>1567</v>
      </c>
      <c r="B75" t="s">
        <v>188</v>
      </c>
      <c r="C75">
        <v>2627</v>
      </c>
      <c r="D75" t="s">
        <v>1475</v>
      </c>
      <c r="E75" t="s">
        <v>1472</v>
      </c>
      <c r="F75">
        <v>2</v>
      </c>
      <c r="G75">
        <v>1</v>
      </c>
      <c r="H75" s="19">
        <v>46338</v>
      </c>
      <c r="I75" s="7" t="s">
        <v>1470</v>
      </c>
      <c r="J75">
        <v>1</v>
      </c>
      <c r="K75" t="s">
        <v>227</v>
      </c>
      <c r="N75" t="s">
        <v>210</v>
      </c>
      <c r="O75" t="s">
        <v>1497</v>
      </c>
      <c r="P75" t="s">
        <v>226</v>
      </c>
      <c r="Q75" t="s">
        <v>208</v>
      </c>
    </row>
    <row r="76" spans="1:17">
      <c r="A76" t="s">
        <v>1568</v>
      </c>
      <c r="B76" t="s">
        <v>188</v>
      </c>
      <c r="C76">
        <v>2627</v>
      </c>
      <c r="D76" t="s">
        <v>1475</v>
      </c>
      <c r="E76" t="s">
        <v>1472</v>
      </c>
      <c r="F76">
        <v>2</v>
      </c>
      <c r="G76">
        <v>2</v>
      </c>
      <c r="H76" s="19">
        <v>46338</v>
      </c>
      <c r="I76" s="7" t="s">
        <v>1470</v>
      </c>
      <c r="J76">
        <v>2</v>
      </c>
      <c r="K76" t="s">
        <v>222</v>
      </c>
      <c r="N76" t="s">
        <v>213</v>
      </c>
      <c r="O76" t="s">
        <v>1497</v>
      </c>
      <c r="P76" t="s">
        <v>220</v>
      </c>
      <c r="Q76" t="s">
        <v>211</v>
      </c>
    </row>
    <row r="77" spans="1:17">
      <c r="A77" t="s">
        <v>1569</v>
      </c>
      <c r="B77" t="s">
        <v>188</v>
      </c>
      <c r="C77">
        <v>2627</v>
      </c>
      <c r="D77" t="s">
        <v>1475</v>
      </c>
      <c r="E77" t="s">
        <v>1472</v>
      </c>
      <c r="F77">
        <v>2</v>
      </c>
      <c r="G77">
        <v>3</v>
      </c>
      <c r="H77" s="19">
        <v>46338</v>
      </c>
      <c r="I77" s="7" t="s">
        <v>1470</v>
      </c>
      <c r="J77">
        <v>3</v>
      </c>
      <c r="K77" t="s">
        <v>219</v>
      </c>
      <c r="N77" t="s">
        <v>216</v>
      </c>
      <c r="O77" t="s">
        <v>1497</v>
      </c>
      <c r="P77" t="s">
        <v>217</v>
      </c>
      <c r="Q77" t="s">
        <v>214</v>
      </c>
    </row>
    <row r="78" spans="1:17">
      <c r="A78" t="s">
        <v>1570</v>
      </c>
      <c r="B78" t="s">
        <v>188</v>
      </c>
      <c r="C78">
        <v>2627</v>
      </c>
      <c r="D78" t="s">
        <v>1475</v>
      </c>
      <c r="E78" t="s">
        <v>1469</v>
      </c>
      <c r="F78">
        <v>3</v>
      </c>
      <c r="G78">
        <v>1</v>
      </c>
      <c r="H78" s="19">
        <v>46345</v>
      </c>
      <c r="I78" s="7" t="s">
        <v>1466</v>
      </c>
      <c r="J78">
        <v>1</v>
      </c>
      <c r="K78" t="s">
        <v>187</v>
      </c>
      <c r="N78" t="s">
        <v>201</v>
      </c>
      <c r="O78" t="s">
        <v>1497</v>
      </c>
      <c r="P78" t="s">
        <v>185</v>
      </c>
      <c r="Q78" t="s">
        <v>199</v>
      </c>
    </row>
    <row r="79" spans="1:17">
      <c r="A79" t="s">
        <v>1571</v>
      </c>
      <c r="B79" t="s">
        <v>188</v>
      </c>
      <c r="C79">
        <v>2627</v>
      </c>
      <c r="D79" t="s">
        <v>1475</v>
      </c>
      <c r="E79" t="s">
        <v>1469</v>
      </c>
      <c r="F79">
        <v>3</v>
      </c>
      <c r="G79">
        <v>2</v>
      </c>
      <c r="H79" s="19">
        <v>46345</v>
      </c>
      <c r="I79" s="7" t="s">
        <v>1466</v>
      </c>
      <c r="J79">
        <v>2</v>
      </c>
      <c r="K79" t="s">
        <v>204</v>
      </c>
      <c r="N79" t="s">
        <v>198</v>
      </c>
      <c r="O79" t="s">
        <v>1497</v>
      </c>
      <c r="P79" t="s">
        <v>202</v>
      </c>
      <c r="Q79" t="s">
        <v>196</v>
      </c>
    </row>
    <row r="80" spans="1:17">
      <c r="A80" t="s">
        <v>1572</v>
      </c>
      <c r="B80" t="s">
        <v>188</v>
      </c>
      <c r="C80">
        <v>2627</v>
      </c>
      <c r="D80" t="s">
        <v>1475</v>
      </c>
      <c r="E80" t="s">
        <v>1469</v>
      </c>
      <c r="F80">
        <v>3</v>
      </c>
      <c r="G80">
        <v>3</v>
      </c>
      <c r="H80" s="19">
        <v>46345</v>
      </c>
      <c r="I80" s="7" t="s">
        <v>1466</v>
      </c>
      <c r="J80">
        <v>3</v>
      </c>
      <c r="K80" t="s">
        <v>207</v>
      </c>
      <c r="N80" t="s">
        <v>195</v>
      </c>
      <c r="O80" t="s">
        <v>1497</v>
      </c>
      <c r="P80" t="s">
        <v>205</v>
      </c>
      <c r="Q80" t="s">
        <v>28</v>
      </c>
    </row>
    <row r="81" spans="1:17">
      <c r="A81" t="s">
        <v>1573</v>
      </c>
      <c r="B81" t="s">
        <v>188</v>
      </c>
      <c r="C81">
        <v>2627</v>
      </c>
      <c r="D81" t="s">
        <v>1475</v>
      </c>
      <c r="E81" t="s">
        <v>1469</v>
      </c>
      <c r="F81">
        <v>3</v>
      </c>
      <c r="G81">
        <v>4</v>
      </c>
      <c r="H81" s="19">
        <v>46345</v>
      </c>
      <c r="I81" s="7" t="s">
        <v>1466</v>
      </c>
      <c r="J81">
        <v>4</v>
      </c>
      <c r="K81" t="s">
        <v>191</v>
      </c>
      <c r="N81" t="s">
        <v>194</v>
      </c>
      <c r="O81" t="s">
        <v>1497</v>
      </c>
      <c r="P81" t="s">
        <v>189</v>
      </c>
      <c r="Q81" t="s">
        <v>192</v>
      </c>
    </row>
    <row r="82" spans="1:17">
      <c r="A82" t="s">
        <v>1574</v>
      </c>
      <c r="B82" t="s">
        <v>188</v>
      </c>
      <c r="C82">
        <v>2627</v>
      </c>
      <c r="D82" t="s">
        <v>1475</v>
      </c>
      <c r="E82" t="s">
        <v>1472</v>
      </c>
      <c r="F82">
        <v>3</v>
      </c>
      <c r="G82">
        <v>1</v>
      </c>
      <c r="H82" s="19">
        <v>46345</v>
      </c>
      <c r="I82" s="7" t="s">
        <v>1470</v>
      </c>
      <c r="J82">
        <v>1</v>
      </c>
      <c r="K82" t="s">
        <v>210</v>
      </c>
      <c r="N82" t="s">
        <v>225</v>
      </c>
      <c r="O82" t="s">
        <v>1497</v>
      </c>
      <c r="P82" t="s">
        <v>208</v>
      </c>
      <c r="Q82" t="s">
        <v>223</v>
      </c>
    </row>
    <row r="83" spans="1:17">
      <c r="A83" t="s">
        <v>1575</v>
      </c>
      <c r="B83" t="s">
        <v>188</v>
      </c>
      <c r="C83">
        <v>2627</v>
      </c>
      <c r="D83" t="s">
        <v>1475</v>
      </c>
      <c r="E83" t="s">
        <v>1472</v>
      </c>
      <c r="F83">
        <v>3</v>
      </c>
      <c r="G83">
        <v>2</v>
      </c>
      <c r="H83" s="19">
        <v>46345</v>
      </c>
      <c r="I83" s="7" t="s">
        <v>1470</v>
      </c>
      <c r="J83">
        <v>2</v>
      </c>
      <c r="K83" t="s">
        <v>227</v>
      </c>
      <c r="N83" t="s">
        <v>222</v>
      </c>
      <c r="O83" t="s">
        <v>1497</v>
      </c>
      <c r="P83" t="s">
        <v>226</v>
      </c>
      <c r="Q83" t="s">
        <v>220</v>
      </c>
    </row>
    <row r="84" spans="1:17">
      <c r="A84" t="s">
        <v>1576</v>
      </c>
      <c r="B84" t="s">
        <v>188</v>
      </c>
      <c r="C84">
        <v>2627</v>
      </c>
      <c r="D84" t="s">
        <v>1475</v>
      </c>
      <c r="E84" t="s">
        <v>1472</v>
      </c>
      <c r="F84">
        <v>3</v>
      </c>
      <c r="G84">
        <v>3</v>
      </c>
      <c r="H84" s="19">
        <v>46345</v>
      </c>
      <c r="I84" s="7" t="s">
        <v>1470</v>
      </c>
      <c r="J84">
        <v>3</v>
      </c>
      <c r="K84" t="s">
        <v>213</v>
      </c>
      <c r="N84" t="s">
        <v>216</v>
      </c>
      <c r="O84" t="s">
        <v>1497</v>
      </c>
      <c r="P84" t="s">
        <v>211</v>
      </c>
      <c r="Q84" t="s">
        <v>214</v>
      </c>
    </row>
    <row r="85" spans="1:17">
      <c r="A85" t="s">
        <v>1577</v>
      </c>
      <c r="B85" t="s">
        <v>188</v>
      </c>
      <c r="C85">
        <v>2627</v>
      </c>
      <c r="D85" t="s">
        <v>1475</v>
      </c>
      <c r="E85" t="s">
        <v>1469</v>
      </c>
      <c r="F85">
        <v>4</v>
      </c>
      <c r="G85">
        <v>1</v>
      </c>
      <c r="H85" s="19">
        <v>46352</v>
      </c>
      <c r="I85" s="7" t="s">
        <v>1466</v>
      </c>
      <c r="J85">
        <v>1</v>
      </c>
      <c r="K85" t="s">
        <v>198</v>
      </c>
      <c r="N85" t="s">
        <v>187</v>
      </c>
      <c r="O85" t="s">
        <v>1497</v>
      </c>
      <c r="P85" t="s">
        <v>196</v>
      </c>
      <c r="Q85" t="s">
        <v>185</v>
      </c>
    </row>
    <row r="86" spans="1:17">
      <c r="A86" t="s">
        <v>1578</v>
      </c>
      <c r="B86" t="s">
        <v>188</v>
      </c>
      <c r="C86">
        <v>2627</v>
      </c>
      <c r="D86" t="s">
        <v>1475</v>
      </c>
      <c r="E86" t="s">
        <v>1469</v>
      </c>
      <c r="F86">
        <v>4</v>
      </c>
      <c r="G86">
        <v>2</v>
      </c>
      <c r="H86" s="19">
        <v>46352</v>
      </c>
      <c r="I86" s="7" t="s">
        <v>1466</v>
      </c>
      <c r="J86">
        <v>2</v>
      </c>
      <c r="K86" t="s">
        <v>195</v>
      </c>
      <c r="N86" t="s">
        <v>201</v>
      </c>
      <c r="O86" t="s">
        <v>1497</v>
      </c>
      <c r="P86" t="s">
        <v>28</v>
      </c>
      <c r="Q86" t="s">
        <v>199</v>
      </c>
    </row>
    <row r="87" spans="1:17">
      <c r="A87" t="s">
        <v>1579</v>
      </c>
      <c r="B87" t="s">
        <v>188</v>
      </c>
      <c r="C87">
        <v>2627</v>
      </c>
      <c r="D87" t="s">
        <v>1475</v>
      </c>
      <c r="E87" t="s">
        <v>1469</v>
      </c>
      <c r="F87">
        <v>4</v>
      </c>
      <c r="G87">
        <v>3</v>
      </c>
      <c r="H87" s="19">
        <v>46352</v>
      </c>
      <c r="I87" s="7" t="s">
        <v>1466</v>
      </c>
      <c r="J87">
        <v>3</v>
      </c>
      <c r="K87" t="s">
        <v>194</v>
      </c>
      <c r="N87" t="s">
        <v>204</v>
      </c>
      <c r="O87" t="s">
        <v>1497</v>
      </c>
      <c r="P87" t="s">
        <v>192</v>
      </c>
      <c r="Q87" t="s">
        <v>202</v>
      </c>
    </row>
    <row r="88" spans="1:17">
      <c r="A88" t="s">
        <v>1580</v>
      </c>
      <c r="B88" t="s">
        <v>188</v>
      </c>
      <c r="C88">
        <v>2627</v>
      </c>
      <c r="D88" t="s">
        <v>1475</v>
      </c>
      <c r="E88" t="s">
        <v>1469</v>
      </c>
      <c r="F88">
        <v>4</v>
      </c>
      <c r="G88">
        <v>4</v>
      </c>
      <c r="H88" s="19">
        <v>46352</v>
      </c>
      <c r="I88" s="7" t="s">
        <v>1466</v>
      </c>
      <c r="J88">
        <v>4</v>
      </c>
      <c r="K88" t="s">
        <v>191</v>
      </c>
      <c r="N88" t="s">
        <v>207</v>
      </c>
      <c r="O88" t="s">
        <v>1497</v>
      </c>
      <c r="P88" t="s">
        <v>189</v>
      </c>
      <c r="Q88" t="s">
        <v>205</v>
      </c>
    </row>
    <row r="89" spans="1:17">
      <c r="A89" t="s">
        <v>1581</v>
      </c>
      <c r="B89" t="s">
        <v>188</v>
      </c>
      <c r="C89">
        <v>2627</v>
      </c>
      <c r="D89" t="s">
        <v>1475</v>
      </c>
      <c r="E89" t="s">
        <v>1472</v>
      </c>
      <c r="F89">
        <v>4</v>
      </c>
      <c r="G89">
        <v>1</v>
      </c>
      <c r="H89" s="19">
        <v>46352</v>
      </c>
      <c r="I89" s="7" t="s">
        <v>1470</v>
      </c>
      <c r="J89">
        <v>1</v>
      </c>
      <c r="K89" t="s">
        <v>222</v>
      </c>
      <c r="N89" t="s">
        <v>210</v>
      </c>
      <c r="O89" t="s">
        <v>1497</v>
      </c>
      <c r="P89" t="s">
        <v>220</v>
      </c>
      <c r="Q89" t="s">
        <v>208</v>
      </c>
    </row>
    <row r="90" spans="1:17">
      <c r="A90" t="s">
        <v>1582</v>
      </c>
      <c r="B90" t="s">
        <v>188</v>
      </c>
      <c r="C90">
        <v>2627</v>
      </c>
      <c r="D90" t="s">
        <v>1475</v>
      </c>
      <c r="E90" t="s">
        <v>1472</v>
      </c>
      <c r="F90">
        <v>4</v>
      </c>
      <c r="G90">
        <v>2</v>
      </c>
      <c r="H90" s="19">
        <v>46352</v>
      </c>
      <c r="I90" s="7" t="s">
        <v>1470</v>
      </c>
      <c r="J90">
        <v>2</v>
      </c>
      <c r="K90" t="s">
        <v>219</v>
      </c>
      <c r="N90" t="s">
        <v>225</v>
      </c>
      <c r="O90" t="s">
        <v>1497</v>
      </c>
      <c r="P90" t="s">
        <v>217</v>
      </c>
      <c r="Q90" t="s">
        <v>223</v>
      </c>
    </row>
    <row r="91" spans="1:17">
      <c r="A91" t="s">
        <v>1583</v>
      </c>
      <c r="B91" t="s">
        <v>188</v>
      </c>
      <c r="C91">
        <v>2627</v>
      </c>
      <c r="D91" t="s">
        <v>1475</v>
      </c>
      <c r="E91" t="s">
        <v>1472</v>
      </c>
      <c r="F91">
        <v>4</v>
      </c>
      <c r="G91">
        <v>3</v>
      </c>
      <c r="H91" s="19">
        <v>46352</v>
      </c>
      <c r="I91" s="7" t="s">
        <v>1470</v>
      </c>
      <c r="J91">
        <v>3</v>
      </c>
      <c r="K91" t="s">
        <v>216</v>
      </c>
      <c r="N91" t="s">
        <v>227</v>
      </c>
      <c r="O91" t="s">
        <v>1497</v>
      </c>
      <c r="P91" t="s">
        <v>214</v>
      </c>
      <c r="Q91" t="s">
        <v>226</v>
      </c>
    </row>
    <row r="92" spans="1:17">
      <c r="A92" t="s">
        <v>1584</v>
      </c>
      <c r="B92" t="s">
        <v>188</v>
      </c>
      <c r="C92">
        <v>2627</v>
      </c>
      <c r="D92" t="s">
        <v>1475</v>
      </c>
      <c r="E92" t="s">
        <v>1469</v>
      </c>
      <c r="F92">
        <v>5</v>
      </c>
      <c r="G92">
        <v>1</v>
      </c>
      <c r="H92" s="19">
        <v>46359</v>
      </c>
      <c r="I92" s="7" t="s">
        <v>1466</v>
      </c>
      <c r="J92">
        <v>1</v>
      </c>
      <c r="K92" t="s">
        <v>187</v>
      </c>
      <c r="N92" t="s">
        <v>195</v>
      </c>
      <c r="O92" t="s">
        <v>1497</v>
      </c>
      <c r="P92" t="s">
        <v>185</v>
      </c>
      <c r="Q92" t="s">
        <v>28</v>
      </c>
    </row>
    <row r="93" spans="1:17">
      <c r="A93" t="s">
        <v>1585</v>
      </c>
      <c r="B93" t="s">
        <v>188</v>
      </c>
      <c r="C93">
        <v>2627</v>
      </c>
      <c r="D93" t="s">
        <v>1475</v>
      </c>
      <c r="E93" t="s">
        <v>1469</v>
      </c>
      <c r="F93">
        <v>5</v>
      </c>
      <c r="G93">
        <v>2</v>
      </c>
      <c r="H93" s="19">
        <v>46359</v>
      </c>
      <c r="I93" s="7" t="s">
        <v>1466</v>
      </c>
      <c r="J93">
        <v>2</v>
      </c>
      <c r="K93" t="s">
        <v>198</v>
      </c>
      <c r="N93" t="s">
        <v>194</v>
      </c>
      <c r="O93" t="s">
        <v>1497</v>
      </c>
      <c r="P93" t="s">
        <v>196</v>
      </c>
      <c r="Q93" t="s">
        <v>192</v>
      </c>
    </row>
    <row r="94" spans="1:17">
      <c r="A94" t="s">
        <v>1586</v>
      </c>
      <c r="B94" t="s">
        <v>188</v>
      </c>
      <c r="C94">
        <v>2627</v>
      </c>
      <c r="D94" t="s">
        <v>1475</v>
      </c>
      <c r="E94" t="s">
        <v>1469</v>
      </c>
      <c r="F94">
        <v>5</v>
      </c>
      <c r="G94">
        <v>3</v>
      </c>
      <c r="H94" s="19">
        <v>46359</v>
      </c>
      <c r="I94" s="7" t="s">
        <v>1466</v>
      </c>
      <c r="J94">
        <v>3</v>
      </c>
      <c r="K94" t="s">
        <v>201</v>
      </c>
      <c r="N94" t="s">
        <v>191</v>
      </c>
      <c r="O94" t="s">
        <v>1497</v>
      </c>
      <c r="P94" t="s">
        <v>199</v>
      </c>
      <c r="Q94" t="s">
        <v>189</v>
      </c>
    </row>
    <row r="95" spans="1:17">
      <c r="A95" t="s">
        <v>1587</v>
      </c>
      <c r="B95" t="s">
        <v>188</v>
      </c>
      <c r="C95">
        <v>2627</v>
      </c>
      <c r="D95" t="s">
        <v>1475</v>
      </c>
      <c r="E95" t="s">
        <v>1469</v>
      </c>
      <c r="F95">
        <v>5</v>
      </c>
      <c r="G95">
        <v>4</v>
      </c>
      <c r="H95" s="19">
        <v>46359</v>
      </c>
      <c r="I95" s="7" t="s">
        <v>1466</v>
      </c>
      <c r="J95">
        <v>4</v>
      </c>
      <c r="K95" t="s">
        <v>204</v>
      </c>
      <c r="N95" t="s">
        <v>207</v>
      </c>
      <c r="O95" t="s">
        <v>1497</v>
      </c>
      <c r="P95" t="s">
        <v>202</v>
      </c>
      <c r="Q95" t="s">
        <v>205</v>
      </c>
    </row>
    <row r="96" spans="1:17">
      <c r="A96" t="s">
        <v>1588</v>
      </c>
      <c r="B96" t="s">
        <v>188</v>
      </c>
      <c r="C96">
        <v>2627</v>
      </c>
      <c r="D96" t="s">
        <v>1475</v>
      </c>
      <c r="E96" t="s">
        <v>1472</v>
      </c>
      <c r="F96">
        <v>5</v>
      </c>
      <c r="G96">
        <v>1</v>
      </c>
      <c r="H96" s="19">
        <v>46359</v>
      </c>
      <c r="I96" s="7" t="s">
        <v>1470</v>
      </c>
      <c r="J96">
        <v>1</v>
      </c>
      <c r="K96" t="s">
        <v>210</v>
      </c>
      <c r="N96" t="s">
        <v>219</v>
      </c>
      <c r="O96" t="s">
        <v>1497</v>
      </c>
      <c r="P96" t="s">
        <v>208</v>
      </c>
      <c r="Q96" t="s">
        <v>217</v>
      </c>
    </row>
    <row r="97" spans="1:17">
      <c r="A97" t="s">
        <v>1589</v>
      </c>
      <c r="B97" t="s">
        <v>188</v>
      </c>
      <c r="C97">
        <v>2627</v>
      </c>
      <c r="D97" t="s">
        <v>1475</v>
      </c>
      <c r="E97" t="s">
        <v>1472</v>
      </c>
      <c r="F97">
        <v>5</v>
      </c>
      <c r="G97">
        <v>2</v>
      </c>
      <c r="H97" s="19">
        <v>46359</v>
      </c>
      <c r="I97" s="7" t="s">
        <v>1470</v>
      </c>
      <c r="J97">
        <v>2</v>
      </c>
      <c r="K97" t="s">
        <v>222</v>
      </c>
      <c r="N97" t="s">
        <v>216</v>
      </c>
      <c r="O97" t="s">
        <v>1497</v>
      </c>
      <c r="P97" t="s">
        <v>220</v>
      </c>
      <c r="Q97" t="s">
        <v>214</v>
      </c>
    </row>
    <row r="98" spans="1:17">
      <c r="A98" t="s">
        <v>1590</v>
      </c>
      <c r="B98" t="s">
        <v>188</v>
      </c>
      <c r="C98">
        <v>2627</v>
      </c>
      <c r="D98" t="s">
        <v>1475</v>
      </c>
      <c r="E98" t="s">
        <v>1472</v>
      </c>
      <c r="F98">
        <v>5</v>
      </c>
      <c r="G98">
        <v>3</v>
      </c>
      <c r="H98" s="19">
        <v>46359</v>
      </c>
      <c r="I98" s="7" t="s">
        <v>1470</v>
      </c>
      <c r="J98">
        <v>3</v>
      </c>
      <c r="K98" t="s">
        <v>225</v>
      </c>
      <c r="N98" t="s">
        <v>213</v>
      </c>
      <c r="O98" t="s">
        <v>1497</v>
      </c>
      <c r="P98" t="s">
        <v>223</v>
      </c>
      <c r="Q98" t="s">
        <v>211</v>
      </c>
    </row>
    <row r="99" spans="1:17">
      <c r="A99" t="s">
        <v>1591</v>
      </c>
      <c r="B99" t="s">
        <v>188</v>
      </c>
      <c r="C99">
        <v>2627</v>
      </c>
      <c r="D99" t="s">
        <v>1475</v>
      </c>
      <c r="E99" t="s">
        <v>1469</v>
      </c>
      <c r="F99">
        <v>6</v>
      </c>
      <c r="G99">
        <v>1</v>
      </c>
      <c r="H99" s="19">
        <v>46366</v>
      </c>
      <c r="I99" s="7" t="s">
        <v>1466</v>
      </c>
      <c r="J99">
        <v>1</v>
      </c>
      <c r="K99" t="s">
        <v>194</v>
      </c>
      <c r="N99" t="s">
        <v>187</v>
      </c>
      <c r="O99" t="s">
        <v>1497</v>
      </c>
      <c r="P99" t="s">
        <v>192</v>
      </c>
      <c r="Q99" t="s">
        <v>185</v>
      </c>
    </row>
    <row r="100" spans="1:17">
      <c r="A100" t="s">
        <v>1592</v>
      </c>
      <c r="B100" t="s">
        <v>188</v>
      </c>
      <c r="C100">
        <v>2627</v>
      </c>
      <c r="D100" t="s">
        <v>1475</v>
      </c>
      <c r="E100" t="s">
        <v>1469</v>
      </c>
      <c r="F100">
        <v>6</v>
      </c>
      <c r="G100">
        <v>2</v>
      </c>
      <c r="H100" s="19">
        <v>46366</v>
      </c>
      <c r="I100" s="7" t="s">
        <v>1466</v>
      </c>
      <c r="J100">
        <v>2</v>
      </c>
      <c r="K100" t="s">
        <v>191</v>
      </c>
      <c r="N100" t="s">
        <v>195</v>
      </c>
      <c r="O100" t="s">
        <v>1497</v>
      </c>
      <c r="P100" t="s">
        <v>189</v>
      </c>
      <c r="Q100" t="s">
        <v>28</v>
      </c>
    </row>
    <row r="101" spans="1:17">
      <c r="A101" t="s">
        <v>1593</v>
      </c>
      <c r="B101" t="s">
        <v>188</v>
      </c>
      <c r="C101">
        <v>2627</v>
      </c>
      <c r="D101" t="s">
        <v>1475</v>
      </c>
      <c r="E101" t="s">
        <v>1469</v>
      </c>
      <c r="F101">
        <v>6</v>
      </c>
      <c r="G101">
        <v>3</v>
      </c>
      <c r="H101" s="19">
        <v>46366</v>
      </c>
      <c r="I101" s="7" t="s">
        <v>1466</v>
      </c>
      <c r="J101">
        <v>3</v>
      </c>
      <c r="K101" t="s">
        <v>207</v>
      </c>
      <c r="N101" t="s">
        <v>198</v>
      </c>
      <c r="O101" t="s">
        <v>1497</v>
      </c>
      <c r="P101" t="s">
        <v>205</v>
      </c>
      <c r="Q101" t="s">
        <v>196</v>
      </c>
    </row>
    <row r="102" spans="1:17">
      <c r="A102" t="s">
        <v>1594</v>
      </c>
      <c r="B102" t="s">
        <v>188</v>
      </c>
      <c r="C102">
        <v>2627</v>
      </c>
      <c r="D102" t="s">
        <v>1475</v>
      </c>
      <c r="E102" t="s">
        <v>1469</v>
      </c>
      <c r="F102">
        <v>6</v>
      </c>
      <c r="G102">
        <v>4</v>
      </c>
      <c r="H102" s="19">
        <v>46366</v>
      </c>
      <c r="I102" s="7" t="s">
        <v>1466</v>
      </c>
      <c r="J102">
        <v>4</v>
      </c>
      <c r="K102" t="s">
        <v>204</v>
      </c>
      <c r="N102" t="s">
        <v>201</v>
      </c>
      <c r="O102" t="s">
        <v>1497</v>
      </c>
      <c r="P102" t="s">
        <v>202</v>
      </c>
      <c r="Q102" t="s">
        <v>199</v>
      </c>
    </row>
    <row r="103" spans="1:17">
      <c r="A103" t="s">
        <v>1595</v>
      </c>
      <c r="B103" t="s">
        <v>188</v>
      </c>
      <c r="C103">
        <v>2627</v>
      </c>
      <c r="D103" t="s">
        <v>1475</v>
      </c>
      <c r="E103" t="s">
        <v>1472</v>
      </c>
      <c r="F103">
        <v>6</v>
      </c>
      <c r="G103">
        <v>1</v>
      </c>
      <c r="H103" s="19">
        <v>46366</v>
      </c>
      <c r="I103" s="7" t="s">
        <v>1470</v>
      </c>
      <c r="J103">
        <v>1</v>
      </c>
      <c r="K103" t="s">
        <v>216</v>
      </c>
      <c r="N103" t="s">
        <v>210</v>
      </c>
      <c r="O103" t="s">
        <v>1497</v>
      </c>
      <c r="P103" t="s">
        <v>214</v>
      </c>
      <c r="Q103" t="s">
        <v>208</v>
      </c>
    </row>
    <row r="104" spans="1:17">
      <c r="A104" t="s">
        <v>1596</v>
      </c>
      <c r="B104" t="s">
        <v>188</v>
      </c>
      <c r="C104">
        <v>2627</v>
      </c>
      <c r="D104" t="s">
        <v>1475</v>
      </c>
      <c r="E104" t="s">
        <v>1472</v>
      </c>
      <c r="F104">
        <v>6</v>
      </c>
      <c r="G104">
        <v>2</v>
      </c>
      <c r="H104" s="19">
        <v>46366</v>
      </c>
      <c r="I104" s="7" t="s">
        <v>1470</v>
      </c>
      <c r="J104">
        <v>2</v>
      </c>
      <c r="K104" t="s">
        <v>213</v>
      </c>
      <c r="N104" t="s">
        <v>219</v>
      </c>
      <c r="O104" t="s">
        <v>1497</v>
      </c>
      <c r="P104" t="s">
        <v>211</v>
      </c>
      <c r="Q104" t="s">
        <v>217</v>
      </c>
    </row>
    <row r="105" spans="1:17">
      <c r="A105" t="s">
        <v>1597</v>
      </c>
      <c r="B105" t="s">
        <v>188</v>
      </c>
      <c r="C105">
        <v>2627</v>
      </c>
      <c r="D105" t="s">
        <v>1475</v>
      </c>
      <c r="E105" t="s">
        <v>1472</v>
      </c>
      <c r="F105">
        <v>6</v>
      </c>
      <c r="G105">
        <v>3</v>
      </c>
      <c r="H105" s="19">
        <v>46366</v>
      </c>
      <c r="I105" s="7" t="s">
        <v>1470</v>
      </c>
      <c r="J105">
        <v>3</v>
      </c>
      <c r="K105" t="s">
        <v>227</v>
      </c>
      <c r="N105" t="s">
        <v>225</v>
      </c>
      <c r="O105" t="s">
        <v>1497</v>
      </c>
      <c r="P105" t="s">
        <v>226</v>
      </c>
      <c r="Q105" t="s">
        <v>223</v>
      </c>
    </row>
    <row r="106" spans="1:17">
      <c r="A106" t="s">
        <v>1598</v>
      </c>
      <c r="B106" t="s">
        <v>188</v>
      </c>
      <c r="C106">
        <v>2627</v>
      </c>
      <c r="D106" t="s">
        <v>1475</v>
      </c>
      <c r="E106" t="s">
        <v>1469</v>
      </c>
      <c r="F106">
        <v>7</v>
      </c>
      <c r="G106">
        <v>1</v>
      </c>
      <c r="H106" s="19">
        <v>46373</v>
      </c>
      <c r="I106" s="7" t="s">
        <v>1466</v>
      </c>
      <c r="J106">
        <v>1</v>
      </c>
      <c r="K106" t="s">
        <v>187</v>
      </c>
      <c r="N106" t="s">
        <v>191</v>
      </c>
      <c r="O106" t="s">
        <v>1497</v>
      </c>
      <c r="P106" t="s">
        <v>185</v>
      </c>
      <c r="Q106" t="s">
        <v>189</v>
      </c>
    </row>
    <row r="107" spans="1:17">
      <c r="A107" t="s">
        <v>1599</v>
      </c>
      <c r="B107" t="s">
        <v>188</v>
      </c>
      <c r="C107">
        <v>2627</v>
      </c>
      <c r="D107" t="s">
        <v>1475</v>
      </c>
      <c r="E107" t="s">
        <v>1469</v>
      </c>
      <c r="F107">
        <v>7</v>
      </c>
      <c r="G107">
        <v>2</v>
      </c>
      <c r="H107" s="19">
        <v>46373</v>
      </c>
      <c r="I107" s="7" t="s">
        <v>1466</v>
      </c>
      <c r="J107">
        <v>2</v>
      </c>
      <c r="K107" t="s">
        <v>194</v>
      </c>
      <c r="N107" t="s">
        <v>207</v>
      </c>
      <c r="O107" t="s">
        <v>1497</v>
      </c>
      <c r="P107" t="s">
        <v>192</v>
      </c>
      <c r="Q107" t="s">
        <v>205</v>
      </c>
    </row>
    <row r="108" spans="1:17">
      <c r="A108" t="s">
        <v>1600</v>
      </c>
      <c r="B108" t="s">
        <v>188</v>
      </c>
      <c r="C108">
        <v>2627</v>
      </c>
      <c r="D108" t="s">
        <v>1475</v>
      </c>
      <c r="E108" t="s">
        <v>1469</v>
      </c>
      <c r="F108">
        <v>7</v>
      </c>
      <c r="G108">
        <v>3</v>
      </c>
      <c r="H108" s="19">
        <v>46373</v>
      </c>
      <c r="I108" s="7" t="s">
        <v>1466</v>
      </c>
      <c r="J108">
        <v>3</v>
      </c>
      <c r="K108" t="s">
        <v>195</v>
      </c>
      <c r="N108" t="s">
        <v>204</v>
      </c>
      <c r="O108" t="s">
        <v>1497</v>
      </c>
      <c r="P108" t="s">
        <v>28</v>
      </c>
      <c r="Q108" t="s">
        <v>202</v>
      </c>
    </row>
    <row r="109" spans="1:17">
      <c r="A109" t="s">
        <v>1601</v>
      </c>
      <c r="B109" t="s">
        <v>188</v>
      </c>
      <c r="C109">
        <v>2627</v>
      </c>
      <c r="D109" t="s">
        <v>1475</v>
      </c>
      <c r="E109" t="s">
        <v>1469</v>
      </c>
      <c r="F109">
        <v>7</v>
      </c>
      <c r="G109">
        <v>4</v>
      </c>
      <c r="H109" s="19">
        <v>46373</v>
      </c>
      <c r="I109" s="7" t="s">
        <v>1466</v>
      </c>
      <c r="J109">
        <v>4</v>
      </c>
      <c r="K109" t="s">
        <v>198</v>
      </c>
      <c r="N109" t="s">
        <v>201</v>
      </c>
      <c r="O109" t="s">
        <v>1497</v>
      </c>
      <c r="P109" t="s">
        <v>196</v>
      </c>
      <c r="Q109" t="s">
        <v>199</v>
      </c>
    </row>
    <row r="110" spans="1:17">
      <c r="A110" t="s">
        <v>1602</v>
      </c>
      <c r="B110" t="s">
        <v>188</v>
      </c>
      <c r="C110">
        <v>2627</v>
      </c>
      <c r="D110" t="s">
        <v>1475</v>
      </c>
      <c r="E110" t="s">
        <v>1472</v>
      </c>
      <c r="F110">
        <v>7</v>
      </c>
      <c r="G110">
        <v>1</v>
      </c>
      <c r="H110" s="19">
        <v>46373</v>
      </c>
      <c r="I110" s="7" t="s">
        <v>1470</v>
      </c>
      <c r="J110">
        <v>1</v>
      </c>
      <c r="K110" t="s">
        <v>210</v>
      </c>
      <c r="N110" t="s">
        <v>213</v>
      </c>
      <c r="O110" t="s">
        <v>1497</v>
      </c>
      <c r="P110" t="s">
        <v>208</v>
      </c>
      <c r="Q110" t="s">
        <v>211</v>
      </c>
    </row>
    <row r="111" spans="1:17">
      <c r="A111" t="s">
        <v>1603</v>
      </c>
      <c r="B111" t="s">
        <v>188</v>
      </c>
      <c r="C111">
        <v>2627</v>
      </c>
      <c r="D111" t="s">
        <v>1475</v>
      </c>
      <c r="E111" t="s">
        <v>1472</v>
      </c>
      <c r="F111">
        <v>7</v>
      </c>
      <c r="G111">
        <v>2</v>
      </c>
      <c r="H111" s="19">
        <v>46373</v>
      </c>
      <c r="I111" s="7" t="s">
        <v>1470</v>
      </c>
      <c r="J111">
        <v>2</v>
      </c>
      <c r="K111" t="s">
        <v>219</v>
      </c>
      <c r="N111" t="s">
        <v>227</v>
      </c>
      <c r="O111" t="s">
        <v>1497</v>
      </c>
      <c r="P111" t="s">
        <v>217</v>
      </c>
      <c r="Q111" t="s">
        <v>226</v>
      </c>
    </row>
    <row r="112" spans="1:17">
      <c r="A112" t="s">
        <v>1604</v>
      </c>
      <c r="B112" t="s">
        <v>188</v>
      </c>
      <c r="C112">
        <v>2627</v>
      </c>
      <c r="D112" t="s">
        <v>1475</v>
      </c>
      <c r="E112" t="s">
        <v>1472</v>
      </c>
      <c r="F112">
        <v>7</v>
      </c>
      <c r="G112">
        <v>3</v>
      </c>
      <c r="H112" s="19">
        <v>46373</v>
      </c>
      <c r="I112" s="7" t="s">
        <v>1470</v>
      </c>
      <c r="J112">
        <v>3</v>
      </c>
      <c r="K112" t="s">
        <v>222</v>
      </c>
      <c r="N112" t="s">
        <v>225</v>
      </c>
      <c r="O112" t="s">
        <v>1497</v>
      </c>
      <c r="P112" t="s">
        <v>220</v>
      </c>
      <c r="Q112" t="s">
        <v>223</v>
      </c>
    </row>
    <row r="113" spans="1:17">
      <c r="A113" t="s">
        <v>1605</v>
      </c>
      <c r="B113" t="s">
        <v>231</v>
      </c>
      <c r="C113">
        <v>2627</v>
      </c>
      <c r="D113" t="s">
        <v>1468</v>
      </c>
      <c r="E113" t="s">
        <v>1476</v>
      </c>
      <c r="F113">
        <v>1</v>
      </c>
      <c r="G113">
        <v>1</v>
      </c>
      <c r="H113" s="19">
        <v>46336</v>
      </c>
      <c r="I113" s="7" t="s">
        <v>1466</v>
      </c>
      <c r="J113">
        <v>1</v>
      </c>
      <c r="K113" t="s">
        <v>230</v>
      </c>
      <c r="N113" t="s">
        <v>240</v>
      </c>
      <c r="O113" t="s">
        <v>1497</v>
      </c>
      <c r="P113" t="s">
        <v>228</v>
      </c>
      <c r="Q113" t="s">
        <v>238</v>
      </c>
    </row>
    <row r="114" spans="1:17">
      <c r="A114" t="s">
        <v>1606</v>
      </c>
      <c r="B114" t="s">
        <v>231</v>
      </c>
      <c r="C114">
        <v>2627</v>
      </c>
      <c r="D114" t="s">
        <v>1468</v>
      </c>
      <c r="E114" t="s">
        <v>1476</v>
      </c>
      <c r="F114">
        <v>1</v>
      </c>
      <c r="G114">
        <v>2</v>
      </c>
      <c r="H114" s="19">
        <v>46336</v>
      </c>
      <c r="I114" s="7" t="s">
        <v>1466</v>
      </c>
      <c r="J114">
        <v>2</v>
      </c>
      <c r="K114" t="s">
        <v>234</v>
      </c>
      <c r="N114" t="s">
        <v>237</v>
      </c>
      <c r="O114" t="s">
        <v>1497</v>
      </c>
      <c r="P114" t="s">
        <v>232</v>
      </c>
      <c r="Q114" t="s">
        <v>235</v>
      </c>
    </row>
    <row r="115" spans="1:17">
      <c r="A115" t="s">
        <v>1607</v>
      </c>
      <c r="B115" t="s">
        <v>231</v>
      </c>
      <c r="C115">
        <v>2627</v>
      </c>
      <c r="D115" t="s">
        <v>1468</v>
      </c>
      <c r="E115" t="s">
        <v>1476</v>
      </c>
      <c r="F115">
        <v>2</v>
      </c>
      <c r="G115">
        <v>1</v>
      </c>
      <c r="H115" s="19">
        <v>46343</v>
      </c>
      <c r="I115" s="7" t="s">
        <v>1466</v>
      </c>
      <c r="J115">
        <v>1</v>
      </c>
      <c r="K115" t="s">
        <v>237</v>
      </c>
      <c r="N115" t="s">
        <v>230</v>
      </c>
      <c r="O115" t="s">
        <v>1497</v>
      </c>
      <c r="P115" t="s">
        <v>235</v>
      </c>
      <c r="Q115" t="s">
        <v>228</v>
      </c>
    </row>
    <row r="116" spans="1:17">
      <c r="A116" t="s">
        <v>1608</v>
      </c>
      <c r="B116" t="s">
        <v>231</v>
      </c>
      <c r="C116">
        <v>2627</v>
      </c>
      <c r="D116" t="s">
        <v>1468</v>
      </c>
      <c r="E116" t="s">
        <v>1476</v>
      </c>
      <c r="F116">
        <v>2</v>
      </c>
      <c r="G116">
        <v>2</v>
      </c>
      <c r="H116" s="19">
        <v>46343</v>
      </c>
      <c r="I116" s="7" t="s">
        <v>1466</v>
      </c>
      <c r="J116">
        <v>2</v>
      </c>
      <c r="K116" t="s">
        <v>234</v>
      </c>
      <c r="N116" t="s">
        <v>240</v>
      </c>
      <c r="O116" t="s">
        <v>1497</v>
      </c>
      <c r="P116" t="s">
        <v>232</v>
      </c>
      <c r="Q116" t="s">
        <v>238</v>
      </c>
    </row>
    <row r="117" spans="1:17">
      <c r="A117" t="s">
        <v>1609</v>
      </c>
      <c r="B117" t="s">
        <v>231</v>
      </c>
      <c r="C117">
        <v>2627</v>
      </c>
      <c r="D117" t="s">
        <v>1468</v>
      </c>
      <c r="E117" t="s">
        <v>1476</v>
      </c>
      <c r="F117">
        <v>3</v>
      </c>
      <c r="G117">
        <v>1</v>
      </c>
      <c r="H117" s="19">
        <v>46350</v>
      </c>
      <c r="I117" s="7" t="s">
        <v>1466</v>
      </c>
      <c r="J117">
        <v>1</v>
      </c>
      <c r="K117" t="s">
        <v>230</v>
      </c>
      <c r="N117" t="s">
        <v>234</v>
      </c>
      <c r="O117" t="s">
        <v>1497</v>
      </c>
      <c r="P117" t="s">
        <v>228</v>
      </c>
      <c r="Q117" t="s">
        <v>232</v>
      </c>
    </row>
    <row r="118" spans="1:17">
      <c r="A118" t="s">
        <v>1610</v>
      </c>
      <c r="B118" t="s">
        <v>231</v>
      </c>
      <c r="C118">
        <v>2627</v>
      </c>
      <c r="D118" t="s">
        <v>1468</v>
      </c>
      <c r="E118" t="s">
        <v>1476</v>
      </c>
      <c r="F118">
        <v>3</v>
      </c>
      <c r="G118">
        <v>2</v>
      </c>
      <c r="H118" s="19">
        <v>46350</v>
      </c>
      <c r="I118" s="7" t="s">
        <v>1466</v>
      </c>
      <c r="J118">
        <v>2</v>
      </c>
      <c r="K118" t="s">
        <v>237</v>
      </c>
      <c r="N118" t="s">
        <v>240</v>
      </c>
      <c r="O118" t="s">
        <v>1497</v>
      </c>
      <c r="P118" t="s">
        <v>235</v>
      </c>
      <c r="Q118" t="s">
        <v>238</v>
      </c>
    </row>
    <row r="119" spans="1:17">
      <c r="A119" t="s">
        <v>1611</v>
      </c>
      <c r="B119" t="s">
        <v>231</v>
      </c>
      <c r="C119">
        <v>2627</v>
      </c>
      <c r="D119" t="s">
        <v>1468</v>
      </c>
      <c r="E119" t="s">
        <v>1476</v>
      </c>
      <c r="F119">
        <v>4</v>
      </c>
      <c r="G119">
        <v>1</v>
      </c>
      <c r="H119" s="19">
        <v>46357</v>
      </c>
      <c r="I119" s="7" t="s">
        <v>1466</v>
      </c>
      <c r="J119">
        <v>1</v>
      </c>
      <c r="K119" t="s">
        <v>240</v>
      </c>
      <c r="N119" t="s">
        <v>230</v>
      </c>
      <c r="O119" t="s">
        <v>1497</v>
      </c>
      <c r="P119" t="s">
        <v>238</v>
      </c>
      <c r="Q119" t="s">
        <v>228</v>
      </c>
    </row>
    <row r="120" spans="1:17">
      <c r="A120" t="s">
        <v>1612</v>
      </c>
      <c r="B120" t="s">
        <v>231</v>
      </c>
      <c r="C120">
        <v>2627</v>
      </c>
      <c r="D120" t="s">
        <v>1468</v>
      </c>
      <c r="E120" t="s">
        <v>1476</v>
      </c>
      <c r="F120">
        <v>4</v>
      </c>
      <c r="G120">
        <v>2</v>
      </c>
      <c r="H120" s="19">
        <v>46357</v>
      </c>
      <c r="I120" s="7" t="s">
        <v>1466</v>
      </c>
      <c r="J120">
        <v>2</v>
      </c>
      <c r="K120" t="s">
        <v>237</v>
      </c>
      <c r="N120" t="s">
        <v>234</v>
      </c>
      <c r="O120" t="s">
        <v>1497</v>
      </c>
      <c r="P120" t="s">
        <v>235</v>
      </c>
      <c r="Q120" t="s">
        <v>232</v>
      </c>
    </row>
    <row r="121" spans="1:17">
      <c r="A121" t="s">
        <v>1613</v>
      </c>
      <c r="B121" t="s">
        <v>231</v>
      </c>
      <c r="C121">
        <v>2627</v>
      </c>
      <c r="D121" t="s">
        <v>1468</v>
      </c>
      <c r="E121" t="s">
        <v>1476</v>
      </c>
      <c r="F121">
        <v>5</v>
      </c>
      <c r="G121">
        <v>1</v>
      </c>
      <c r="H121" s="19">
        <v>46371</v>
      </c>
      <c r="I121" s="7" t="s">
        <v>1466</v>
      </c>
      <c r="J121">
        <v>1</v>
      </c>
      <c r="K121" t="s">
        <v>230</v>
      </c>
      <c r="N121" t="s">
        <v>237</v>
      </c>
      <c r="O121" t="s">
        <v>1497</v>
      </c>
      <c r="P121" t="s">
        <v>228</v>
      </c>
      <c r="Q121" t="s">
        <v>235</v>
      </c>
    </row>
    <row r="122" spans="1:17">
      <c r="A122" t="s">
        <v>1614</v>
      </c>
      <c r="B122" t="s">
        <v>231</v>
      </c>
      <c r="C122">
        <v>2627</v>
      </c>
      <c r="D122" t="s">
        <v>1468</v>
      </c>
      <c r="E122" t="s">
        <v>1476</v>
      </c>
      <c r="F122">
        <v>5</v>
      </c>
      <c r="G122">
        <v>2</v>
      </c>
      <c r="H122" s="19">
        <v>46371</v>
      </c>
      <c r="I122" s="7" t="s">
        <v>1466</v>
      </c>
      <c r="J122">
        <v>2</v>
      </c>
      <c r="K122" t="s">
        <v>240</v>
      </c>
      <c r="N122" t="s">
        <v>234</v>
      </c>
      <c r="O122" t="s">
        <v>1497</v>
      </c>
      <c r="P122" t="s">
        <v>238</v>
      </c>
      <c r="Q122" t="s">
        <v>232</v>
      </c>
    </row>
    <row r="123" spans="1:17">
      <c r="A123" t="s">
        <v>1615</v>
      </c>
      <c r="B123" t="s">
        <v>231</v>
      </c>
      <c r="C123">
        <v>2627</v>
      </c>
      <c r="D123" t="s">
        <v>1468</v>
      </c>
      <c r="E123" t="s">
        <v>1476</v>
      </c>
      <c r="F123">
        <v>6</v>
      </c>
      <c r="G123">
        <v>1</v>
      </c>
      <c r="H123" s="19">
        <v>46378</v>
      </c>
      <c r="I123" s="7" t="s">
        <v>1466</v>
      </c>
      <c r="J123">
        <v>1</v>
      </c>
      <c r="K123" t="s">
        <v>234</v>
      </c>
      <c r="N123" t="s">
        <v>230</v>
      </c>
      <c r="O123" t="s">
        <v>1497</v>
      </c>
      <c r="P123" t="s">
        <v>232</v>
      </c>
      <c r="Q123" t="s">
        <v>228</v>
      </c>
    </row>
    <row r="124" spans="1:17">
      <c r="A124" t="s">
        <v>1616</v>
      </c>
      <c r="B124" t="s">
        <v>231</v>
      </c>
      <c r="C124">
        <v>2627</v>
      </c>
      <c r="D124" t="s">
        <v>1468</v>
      </c>
      <c r="E124" t="s">
        <v>1476</v>
      </c>
      <c r="F124">
        <v>6</v>
      </c>
      <c r="G124">
        <v>2</v>
      </c>
      <c r="H124" s="19">
        <v>46378</v>
      </c>
      <c r="I124" s="7" t="s">
        <v>1466</v>
      </c>
      <c r="J124">
        <v>2</v>
      </c>
      <c r="K124" t="s">
        <v>240</v>
      </c>
      <c r="N124" t="s">
        <v>237</v>
      </c>
      <c r="O124" t="s">
        <v>1497</v>
      </c>
      <c r="P124" t="s">
        <v>238</v>
      </c>
      <c r="Q124" t="s">
        <v>235</v>
      </c>
    </row>
    <row r="125" spans="1:17">
      <c r="A125" t="s">
        <v>1617</v>
      </c>
      <c r="B125" t="s">
        <v>244</v>
      </c>
      <c r="C125">
        <v>2627</v>
      </c>
      <c r="D125" t="s">
        <v>1468</v>
      </c>
      <c r="E125" t="s">
        <v>1476</v>
      </c>
      <c r="F125">
        <v>1</v>
      </c>
      <c r="G125">
        <v>1</v>
      </c>
      <c r="H125" s="19">
        <v>46336</v>
      </c>
      <c r="I125" s="7" t="s">
        <v>1466</v>
      </c>
      <c r="J125">
        <v>1</v>
      </c>
      <c r="K125" t="s">
        <v>243</v>
      </c>
      <c r="N125" t="s">
        <v>269</v>
      </c>
      <c r="O125" t="s">
        <v>1497</v>
      </c>
      <c r="P125" t="s">
        <v>241</v>
      </c>
      <c r="Q125" t="s">
        <v>267</v>
      </c>
    </row>
    <row r="126" spans="1:17">
      <c r="A126" t="s">
        <v>1618</v>
      </c>
      <c r="B126" t="s">
        <v>244</v>
      </c>
      <c r="C126">
        <v>2627</v>
      </c>
      <c r="D126" t="s">
        <v>1468</v>
      </c>
      <c r="E126" t="s">
        <v>1476</v>
      </c>
      <c r="F126">
        <v>1</v>
      </c>
      <c r="G126">
        <v>2</v>
      </c>
      <c r="H126" s="19">
        <v>46336</v>
      </c>
      <c r="I126" s="7" t="s">
        <v>1619</v>
      </c>
      <c r="J126">
        <v>1</v>
      </c>
      <c r="K126" t="s">
        <v>247</v>
      </c>
      <c r="N126" t="s">
        <v>266</v>
      </c>
      <c r="O126" t="s">
        <v>1497</v>
      </c>
      <c r="P126" t="s">
        <v>245</v>
      </c>
      <c r="Q126" t="s">
        <v>264</v>
      </c>
    </row>
    <row r="127" spans="1:17">
      <c r="A127" t="s">
        <v>1620</v>
      </c>
      <c r="B127" t="s">
        <v>244</v>
      </c>
      <c r="C127">
        <v>2627</v>
      </c>
      <c r="D127" t="s">
        <v>1468</v>
      </c>
      <c r="E127" t="s">
        <v>1476</v>
      </c>
      <c r="F127">
        <v>1</v>
      </c>
      <c r="G127">
        <v>3</v>
      </c>
      <c r="H127" s="19">
        <v>46336</v>
      </c>
      <c r="I127" s="7" t="s">
        <v>1621</v>
      </c>
      <c r="J127">
        <v>1</v>
      </c>
      <c r="K127" t="s">
        <v>250</v>
      </c>
      <c r="N127" t="s">
        <v>263</v>
      </c>
      <c r="O127" t="s">
        <v>1497</v>
      </c>
      <c r="P127" t="s">
        <v>248</v>
      </c>
      <c r="Q127" t="s">
        <v>8</v>
      </c>
    </row>
    <row r="128" spans="1:17">
      <c r="A128" t="s">
        <v>1622</v>
      </c>
      <c r="B128" t="s">
        <v>244</v>
      </c>
      <c r="C128">
        <v>2627</v>
      </c>
      <c r="D128" t="s">
        <v>1468</v>
      </c>
      <c r="E128" t="s">
        <v>1476</v>
      </c>
      <c r="F128">
        <v>1</v>
      </c>
      <c r="G128">
        <v>4</v>
      </c>
      <c r="H128" s="19">
        <v>46343</v>
      </c>
      <c r="I128" s="7" t="s">
        <v>1466</v>
      </c>
      <c r="J128">
        <v>1</v>
      </c>
      <c r="K128" t="s">
        <v>253</v>
      </c>
      <c r="N128" t="s">
        <v>262</v>
      </c>
      <c r="O128" t="s">
        <v>1497</v>
      </c>
      <c r="P128" t="s">
        <v>251</v>
      </c>
      <c r="Q128" t="s">
        <v>260</v>
      </c>
    </row>
    <row r="129" spans="1:17">
      <c r="A129" t="s">
        <v>1623</v>
      </c>
      <c r="B129" t="s">
        <v>244</v>
      </c>
      <c r="C129">
        <v>2627</v>
      </c>
      <c r="D129" t="s">
        <v>1468</v>
      </c>
      <c r="E129" t="s">
        <v>1476</v>
      </c>
      <c r="F129">
        <v>1</v>
      </c>
      <c r="G129">
        <v>5</v>
      </c>
      <c r="H129" s="19">
        <v>46343</v>
      </c>
      <c r="I129" s="7" t="s">
        <v>1619</v>
      </c>
      <c r="J129">
        <v>1</v>
      </c>
      <c r="K129" t="s">
        <v>256</v>
      </c>
      <c r="N129" t="s">
        <v>259</v>
      </c>
      <c r="O129" t="s">
        <v>1497</v>
      </c>
      <c r="P129" t="s">
        <v>254</v>
      </c>
      <c r="Q129" t="s">
        <v>257</v>
      </c>
    </row>
    <row r="130" spans="1:17">
      <c r="A130" t="s">
        <v>1624</v>
      </c>
      <c r="B130" t="s">
        <v>244</v>
      </c>
      <c r="C130">
        <v>2627</v>
      </c>
      <c r="D130" t="s">
        <v>1468</v>
      </c>
      <c r="E130" t="s">
        <v>1476</v>
      </c>
      <c r="F130">
        <v>2</v>
      </c>
      <c r="G130">
        <v>1</v>
      </c>
      <c r="H130" s="19">
        <v>46343</v>
      </c>
      <c r="I130" s="7" t="s">
        <v>1466</v>
      </c>
      <c r="J130">
        <v>1</v>
      </c>
      <c r="K130" t="s">
        <v>266</v>
      </c>
      <c r="N130" t="s">
        <v>243</v>
      </c>
      <c r="O130" t="s">
        <v>1497</v>
      </c>
      <c r="P130" t="s">
        <v>264</v>
      </c>
      <c r="Q130" t="s">
        <v>241</v>
      </c>
    </row>
    <row r="131" spans="1:17">
      <c r="A131" t="s">
        <v>1625</v>
      </c>
      <c r="B131" t="s">
        <v>244</v>
      </c>
      <c r="C131">
        <v>2627</v>
      </c>
      <c r="D131" t="s">
        <v>1468</v>
      </c>
      <c r="E131" t="s">
        <v>1476</v>
      </c>
      <c r="F131">
        <v>2</v>
      </c>
      <c r="G131">
        <v>2</v>
      </c>
      <c r="H131" s="19">
        <v>46343</v>
      </c>
      <c r="I131" s="7" t="s">
        <v>1619</v>
      </c>
      <c r="J131">
        <v>1</v>
      </c>
      <c r="K131" t="s">
        <v>263</v>
      </c>
      <c r="N131" t="s">
        <v>269</v>
      </c>
      <c r="O131" t="s">
        <v>1497</v>
      </c>
      <c r="P131" t="s">
        <v>8</v>
      </c>
      <c r="Q131" t="s">
        <v>267</v>
      </c>
    </row>
    <row r="132" spans="1:17">
      <c r="A132" t="s">
        <v>1626</v>
      </c>
      <c r="B132" t="s">
        <v>244</v>
      </c>
      <c r="C132">
        <v>2627</v>
      </c>
      <c r="D132" t="s">
        <v>1468</v>
      </c>
      <c r="E132" t="s">
        <v>1476</v>
      </c>
      <c r="F132">
        <v>2</v>
      </c>
      <c r="G132">
        <v>3</v>
      </c>
      <c r="H132" s="19">
        <v>46343</v>
      </c>
      <c r="I132" s="7" t="s">
        <v>1621</v>
      </c>
      <c r="J132">
        <v>1</v>
      </c>
      <c r="K132" t="s">
        <v>262</v>
      </c>
      <c r="N132" t="s">
        <v>247</v>
      </c>
      <c r="O132" t="s">
        <v>1497</v>
      </c>
      <c r="P132" t="s">
        <v>260</v>
      </c>
      <c r="Q132" t="s">
        <v>245</v>
      </c>
    </row>
    <row r="133" spans="1:17">
      <c r="A133" t="s">
        <v>1627</v>
      </c>
      <c r="B133" t="s">
        <v>244</v>
      </c>
      <c r="C133">
        <v>2627</v>
      </c>
      <c r="D133" t="s">
        <v>1468</v>
      </c>
      <c r="E133" t="s">
        <v>1476</v>
      </c>
      <c r="F133">
        <v>2</v>
      </c>
      <c r="G133">
        <v>4</v>
      </c>
      <c r="H133" s="19">
        <v>46350</v>
      </c>
      <c r="I133" s="7" t="s">
        <v>1466</v>
      </c>
      <c r="J133">
        <v>1</v>
      </c>
      <c r="K133" t="s">
        <v>259</v>
      </c>
      <c r="N133" t="s">
        <v>250</v>
      </c>
      <c r="O133" t="s">
        <v>1497</v>
      </c>
      <c r="P133" t="s">
        <v>257</v>
      </c>
      <c r="Q133" t="s">
        <v>248</v>
      </c>
    </row>
    <row r="134" spans="1:17">
      <c r="A134" t="s">
        <v>1628</v>
      </c>
      <c r="B134" t="s">
        <v>244</v>
      </c>
      <c r="C134">
        <v>2627</v>
      </c>
      <c r="D134" t="s">
        <v>1468</v>
      </c>
      <c r="E134" t="s">
        <v>1476</v>
      </c>
      <c r="F134">
        <v>2</v>
      </c>
      <c r="G134">
        <v>5</v>
      </c>
      <c r="H134" s="19">
        <v>46350</v>
      </c>
      <c r="I134" s="7" t="s">
        <v>1619</v>
      </c>
      <c r="J134">
        <v>1</v>
      </c>
      <c r="K134" t="s">
        <v>256</v>
      </c>
      <c r="N134" t="s">
        <v>253</v>
      </c>
      <c r="O134" t="s">
        <v>1497</v>
      </c>
      <c r="P134" t="s">
        <v>254</v>
      </c>
      <c r="Q134" t="s">
        <v>251</v>
      </c>
    </row>
    <row r="135" spans="1:17">
      <c r="A135" t="s">
        <v>1629</v>
      </c>
      <c r="B135" t="s">
        <v>244</v>
      </c>
      <c r="C135">
        <v>2627</v>
      </c>
      <c r="D135" t="s">
        <v>1468</v>
      </c>
      <c r="E135" t="s">
        <v>1476</v>
      </c>
      <c r="F135">
        <v>3</v>
      </c>
      <c r="G135">
        <v>1</v>
      </c>
      <c r="H135" s="19">
        <v>46350</v>
      </c>
      <c r="I135" s="7" t="s">
        <v>1466</v>
      </c>
      <c r="J135">
        <v>1</v>
      </c>
      <c r="K135" t="s">
        <v>243</v>
      </c>
      <c r="N135" t="s">
        <v>263</v>
      </c>
      <c r="O135" t="s">
        <v>1497</v>
      </c>
      <c r="P135" t="s">
        <v>241</v>
      </c>
      <c r="Q135" t="s">
        <v>8</v>
      </c>
    </row>
    <row r="136" spans="1:17">
      <c r="A136" t="s">
        <v>1630</v>
      </c>
      <c r="B136" t="s">
        <v>244</v>
      </c>
      <c r="C136">
        <v>2627</v>
      </c>
      <c r="D136" t="s">
        <v>1468</v>
      </c>
      <c r="E136" t="s">
        <v>1476</v>
      </c>
      <c r="F136">
        <v>3</v>
      </c>
      <c r="G136">
        <v>2</v>
      </c>
      <c r="H136" s="19">
        <v>46350</v>
      </c>
      <c r="I136" s="7" t="s">
        <v>1619</v>
      </c>
      <c r="J136">
        <v>1</v>
      </c>
      <c r="K136" t="s">
        <v>266</v>
      </c>
      <c r="N136" t="s">
        <v>262</v>
      </c>
      <c r="O136" t="s">
        <v>1497</v>
      </c>
      <c r="P136" t="s">
        <v>264</v>
      </c>
      <c r="Q136" t="s">
        <v>260</v>
      </c>
    </row>
    <row r="137" spans="1:17">
      <c r="A137" t="s">
        <v>1631</v>
      </c>
      <c r="B137" t="s">
        <v>244</v>
      </c>
      <c r="C137">
        <v>2627</v>
      </c>
      <c r="D137" t="s">
        <v>1468</v>
      </c>
      <c r="E137" t="s">
        <v>1476</v>
      </c>
      <c r="F137">
        <v>3</v>
      </c>
      <c r="G137">
        <v>3</v>
      </c>
      <c r="H137" s="19">
        <v>46350</v>
      </c>
      <c r="I137" s="7" t="s">
        <v>1621</v>
      </c>
      <c r="J137">
        <v>1</v>
      </c>
      <c r="K137" t="s">
        <v>269</v>
      </c>
      <c r="N137" t="s">
        <v>259</v>
      </c>
      <c r="O137" t="s">
        <v>1497</v>
      </c>
      <c r="P137" t="s">
        <v>267</v>
      </c>
      <c r="Q137" t="s">
        <v>257</v>
      </c>
    </row>
    <row r="138" spans="1:17">
      <c r="A138" t="s">
        <v>1632</v>
      </c>
      <c r="B138" t="s">
        <v>244</v>
      </c>
      <c r="C138">
        <v>2627</v>
      </c>
      <c r="D138" t="s">
        <v>1468</v>
      </c>
      <c r="E138" t="s">
        <v>1476</v>
      </c>
      <c r="F138">
        <v>3</v>
      </c>
      <c r="G138">
        <v>4</v>
      </c>
      <c r="H138" s="19">
        <v>46357</v>
      </c>
      <c r="I138" s="7" t="s">
        <v>1466</v>
      </c>
      <c r="J138">
        <v>1</v>
      </c>
      <c r="K138" t="s">
        <v>247</v>
      </c>
      <c r="N138" t="s">
        <v>256</v>
      </c>
      <c r="O138" t="s">
        <v>1497</v>
      </c>
      <c r="P138" t="s">
        <v>245</v>
      </c>
      <c r="Q138" t="s">
        <v>254</v>
      </c>
    </row>
    <row r="139" spans="1:17">
      <c r="A139" t="s">
        <v>1633</v>
      </c>
      <c r="B139" t="s">
        <v>244</v>
      </c>
      <c r="C139">
        <v>2627</v>
      </c>
      <c r="D139" t="s">
        <v>1468</v>
      </c>
      <c r="E139" t="s">
        <v>1476</v>
      </c>
      <c r="F139">
        <v>3</v>
      </c>
      <c r="G139">
        <v>5</v>
      </c>
      <c r="H139" s="19">
        <v>46357</v>
      </c>
      <c r="I139" s="7" t="s">
        <v>1619</v>
      </c>
      <c r="J139">
        <v>1</v>
      </c>
      <c r="K139" t="s">
        <v>250</v>
      </c>
      <c r="N139" t="s">
        <v>253</v>
      </c>
      <c r="O139" t="s">
        <v>1497</v>
      </c>
      <c r="P139" t="s">
        <v>248</v>
      </c>
      <c r="Q139" t="s">
        <v>251</v>
      </c>
    </row>
    <row r="140" spans="1:17">
      <c r="A140" t="s">
        <v>1634</v>
      </c>
      <c r="B140" t="s">
        <v>244</v>
      </c>
      <c r="C140">
        <v>2627</v>
      </c>
      <c r="D140" t="s">
        <v>1468</v>
      </c>
      <c r="E140" t="s">
        <v>1476</v>
      </c>
      <c r="F140">
        <v>4</v>
      </c>
      <c r="G140">
        <v>1</v>
      </c>
      <c r="H140" s="19">
        <v>46357</v>
      </c>
      <c r="I140" s="7" t="s">
        <v>1466</v>
      </c>
      <c r="J140">
        <v>1</v>
      </c>
      <c r="K140" t="s">
        <v>262</v>
      </c>
      <c r="N140" t="s">
        <v>243</v>
      </c>
      <c r="O140" t="s">
        <v>1497</v>
      </c>
      <c r="P140" t="s">
        <v>260</v>
      </c>
      <c r="Q140" t="s">
        <v>241</v>
      </c>
    </row>
    <row r="141" spans="1:17">
      <c r="A141" t="s">
        <v>1635</v>
      </c>
      <c r="B141" t="s">
        <v>244</v>
      </c>
      <c r="C141">
        <v>2627</v>
      </c>
      <c r="D141" t="s">
        <v>1468</v>
      </c>
      <c r="E141" t="s">
        <v>1476</v>
      </c>
      <c r="F141">
        <v>4</v>
      </c>
      <c r="G141">
        <v>2</v>
      </c>
      <c r="H141" s="19">
        <v>46357</v>
      </c>
      <c r="I141" s="7" t="s">
        <v>1619</v>
      </c>
      <c r="J141">
        <v>1</v>
      </c>
      <c r="K141" t="s">
        <v>259</v>
      </c>
      <c r="N141" t="s">
        <v>263</v>
      </c>
      <c r="O141" t="s">
        <v>1497</v>
      </c>
      <c r="P141" t="s">
        <v>257</v>
      </c>
      <c r="Q141" t="s">
        <v>8</v>
      </c>
    </row>
    <row r="142" spans="1:17">
      <c r="A142" t="s">
        <v>1636</v>
      </c>
      <c r="B142" t="s">
        <v>244</v>
      </c>
      <c r="C142">
        <v>2627</v>
      </c>
      <c r="D142" t="s">
        <v>1468</v>
      </c>
      <c r="E142" t="s">
        <v>1476</v>
      </c>
      <c r="F142">
        <v>4</v>
      </c>
      <c r="G142">
        <v>3</v>
      </c>
      <c r="H142" s="19">
        <v>46357</v>
      </c>
      <c r="I142" s="7" t="s">
        <v>1621</v>
      </c>
      <c r="J142">
        <v>1</v>
      </c>
      <c r="K142" t="s">
        <v>256</v>
      </c>
      <c r="N142" t="s">
        <v>266</v>
      </c>
      <c r="O142" t="s">
        <v>1497</v>
      </c>
      <c r="P142" t="s">
        <v>254</v>
      </c>
      <c r="Q142" t="s">
        <v>264</v>
      </c>
    </row>
    <row r="143" spans="1:17">
      <c r="A143" t="s">
        <v>1637</v>
      </c>
      <c r="B143" t="s">
        <v>244</v>
      </c>
      <c r="C143">
        <v>2627</v>
      </c>
      <c r="D143" t="s">
        <v>1468</v>
      </c>
      <c r="E143" t="s">
        <v>1476</v>
      </c>
      <c r="F143">
        <v>4</v>
      </c>
      <c r="G143">
        <v>4</v>
      </c>
      <c r="H143" s="19">
        <v>46371</v>
      </c>
      <c r="I143" s="7" t="s">
        <v>1466</v>
      </c>
      <c r="J143">
        <v>1</v>
      </c>
      <c r="K143" t="s">
        <v>253</v>
      </c>
      <c r="N143" t="s">
        <v>269</v>
      </c>
      <c r="O143" t="s">
        <v>1497</v>
      </c>
      <c r="P143" t="s">
        <v>251</v>
      </c>
      <c r="Q143" t="s">
        <v>267</v>
      </c>
    </row>
    <row r="144" spans="1:17">
      <c r="A144" t="s">
        <v>1638</v>
      </c>
      <c r="B144" t="s">
        <v>244</v>
      </c>
      <c r="C144">
        <v>2627</v>
      </c>
      <c r="D144" t="s">
        <v>1468</v>
      </c>
      <c r="E144" t="s">
        <v>1476</v>
      </c>
      <c r="F144">
        <v>4</v>
      </c>
      <c r="G144">
        <v>5</v>
      </c>
      <c r="H144" s="19">
        <v>46371</v>
      </c>
      <c r="I144" s="7" t="s">
        <v>1619</v>
      </c>
      <c r="J144">
        <v>1</v>
      </c>
      <c r="K144" t="s">
        <v>250</v>
      </c>
      <c r="N144" t="s">
        <v>247</v>
      </c>
      <c r="O144" t="s">
        <v>1497</v>
      </c>
      <c r="P144" t="s">
        <v>248</v>
      </c>
      <c r="Q144" t="s">
        <v>245</v>
      </c>
    </row>
    <row r="145" spans="1:17">
      <c r="A145" t="s">
        <v>1639</v>
      </c>
      <c r="B145" t="s">
        <v>244</v>
      </c>
      <c r="C145">
        <v>2627</v>
      </c>
      <c r="D145" t="s">
        <v>1468</v>
      </c>
      <c r="E145" t="s">
        <v>1476</v>
      </c>
      <c r="F145">
        <v>5</v>
      </c>
      <c r="G145">
        <v>1</v>
      </c>
      <c r="H145" s="19">
        <v>46371</v>
      </c>
      <c r="I145" s="7" t="s">
        <v>1466</v>
      </c>
      <c r="J145">
        <v>1</v>
      </c>
      <c r="K145" t="s">
        <v>243</v>
      </c>
      <c r="N145" t="s">
        <v>259</v>
      </c>
      <c r="O145" t="s">
        <v>1497</v>
      </c>
      <c r="P145" t="s">
        <v>241</v>
      </c>
      <c r="Q145" t="s">
        <v>257</v>
      </c>
    </row>
    <row r="146" spans="1:17">
      <c r="A146" t="s">
        <v>1640</v>
      </c>
      <c r="B146" t="s">
        <v>244</v>
      </c>
      <c r="C146">
        <v>2627</v>
      </c>
      <c r="D146" t="s">
        <v>1468</v>
      </c>
      <c r="E146" t="s">
        <v>1476</v>
      </c>
      <c r="F146">
        <v>5</v>
      </c>
      <c r="G146">
        <v>2</v>
      </c>
      <c r="H146" s="19">
        <v>46371</v>
      </c>
      <c r="I146" s="7" t="s">
        <v>1619</v>
      </c>
      <c r="J146">
        <v>1</v>
      </c>
      <c r="K146" t="s">
        <v>262</v>
      </c>
      <c r="N146" t="s">
        <v>256</v>
      </c>
      <c r="O146" t="s">
        <v>1497</v>
      </c>
      <c r="P146" t="s">
        <v>260</v>
      </c>
      <c r="Q146" t="s">
        <v>254</v>
      </c>
    </row>
    <row r="147" spans="1:17">
      <c r="A147" t="s">
        <v>1641</v>
      </c>
      <c r="B147" t="s">
        <v>244</v>
      </c>
      <c r="C147">
        <v>2627</v>
      </c>
      <c r="D147" t="s">
        <v>1468</v>
      </c>
      <c r="E147" t="s">
        <v>1476</v>
      </c>
      <c r="F147">
        <v>5</v>
      </c>
      <c r="G147">
        <v>3</v>
      </c>
      <c r="H147" s="19">
        <v>46371</v>
      </c>
      <c r="I147" s="7" t="s">
        <v>1621</v>
      </c>
      <c r="J147">
        <v>1</v>
      </c>
      <c r="K147" t="s">
        <v>263</v>
      </c>
      <c r="N147" t="s">
        <v>253</v>
      </c>
      <c r="O147" t="s">
        <v>1497</v>
      </c>
      <c r="P147" t="s">
        <v>8</v>
      </c>
      <c r="Q147" t="s">
        <v>251</v>
      </c>
    </row>
    <row r="148" spans="1:17">
      <c r="A148" t="s">
        <v>1642</v>
      </c>
      <c r="B148" t="s">
        <v>244</v>
      </c>
      <c r="C148">
        <v>2627</v>
      </c>
      <c r="D148" t="s">
        <v>1468</v>
      </c>
      <c r="E148" t="s">
        <v>1476</v>
      </c>
      <c r="F148">
        <v>5</v>
      </c>
      <c r="G148">
        <v>4</v>
      </c>
      <c r="H148" s="19">
        <v>46378</v>
      </c>
      <c r="I148" s="7" t="s">
        <v>1466</v>
      </c>
      <c r="J148">
        <v>1</v>
      </c>
      <c r="K148" t="s">
        <v>266</v>
      </c>
      <c r="N148" t="s">
        <v>250</v>
      </c>
      <c r="O148" t="s">
        <v>1497</v>
      </c>
      <c r="P148" t="s">
        <v>264</v>
      </c>
      <c r="Q148" t="s">
        <v>248</v>
      </c>
    </row>
    <row r="149" spans="1:17">
      <c r="A149" t="s">
        <v>1643</v>
      </c>
      <c r="B149" t="s">
        <v>244</v>
      </c>
      <c r="C149">
        <v>2627</v>
      </c>
      <c r="D149" t="s">
        <v>1468</v>
      </c>
      <c r="E149" t="s">
        <v>1476</v>
      </c>
      <c r="F149">
        <v>5</v>
      </c>
      <c r="G149">
        <v>5</v>
      </c>
      <c r="H149" s="19">
        <v>46378</v>
      </c>
      <c r="I149" s="7" t="s">
        <v>1619</v>
      </c>
      <c r="J149">
        <v>1</v>
      </c>
      <c r="K149" t="s">
        <v>269</v>
      </c>
      <c r="N149" t="s">
        <v>247</v>
      </c>
      <c r="O149" t="s">
        <v>1497</v>
      </c>
      <c r="P149" t="s">
        <v>267</v>
      </c>
      <c r="Q149" t="s">
        <v>245</v>
      </c>
    </row>
    <row r="150" spans="1:17">
      <c r="A150" t="s">
        <v>1644</v>
      </c>
      <c r="B150" t="s">
        <v>244</v>
      </c>
      <c r="C150">
        <v>2627</v>
      </c>
      <c r="D150" t="s">
        <v>1468</v>
      </c>
      <c r="E150" t="s">
        <v>1476</v>
      </c>
      <c r="F150">
        <v>6</v>
      </c>
      <c r="G150">
        <v>1</v>
      </c>
      <c r="H150" s="19">
        <v>46378</v>
      </c>
      <c r="I150" s="7" t="s">
        <v>1466</v>
      </c>
      <c r="J150">
        <v>1</v>
      </c>
      <c r="K150" t="s">
        <v>256</v>
      </c>
      <c r="N150" t="s">
        <v>243</v>
      </c>
      <c r="O150" t="s">
        <v>1497</v>
      </c>
      <c r="P150" t="s">
        <v>254</v>
      </c>
      <c r="Q150" t="s">
        <v>241</v>
      </c>
    </row>
    <row r="151" spans="1:17">
      <c r="A151" t="s">
        <v>1645</v>
      </c>
      <c r="B151" t="s">
        <v>244</v>
      </c>
      <c r="C151">
        <v>2627</v>
      </c>
      <c r="D151" t="s">
        <v>1468</v>
      </c>
      <c r="E151" t="s">
        <v>1476</v>
      </c>
      <c r="F151">
        <v>6</v>
      </c>
      <c r="G151">
        <v>2</v>
      </c>
      <c r="H151" s="19">
        <v>46378</v>
      </c>
      <c r="I151" s="7" t="s">
        <v>1619</v>
      </c>
      <c r="J151">
        <v>1</v>
      </c>
      <c r="K151" t="s">
        <v>253</v>
      </c>
      <c r="N151" t="s">
        <v>259</v>
      </c>
      <c r="O151" t="s">
        <v>1497</v>
      </c>
      <c r="P151" t="s">
        <v>251</v>
      </c>
      <c r="Q151" t="s">
        <v>257</v>
      </c>
    </row>
    <row r="152" spans="1:17">
      <c r="A152" t="s">
        <v>1646</v>
      </c>
      <c r="B152" t="s">
        <v>244</v>
      </c>
      <c r="C152">
        <v>2627</v>
      </c>
      <c r="D152" t="s">
        <v>1468</v>
      </c>
      <c r="E152" t="s">
        <v>1476</v>
      </c>
      <c r="F152">
        <v>6</v>
      </c>
      <c r="G152">
        <v>3</v>
      </c>
      <c r="H152" s="19">
        <v>46378</v>
      </c>
      <c r="I152" s="7" t="s">
        <v>1621</v>
      </c>
      <c r="J152">
        <v>1</v>
      </c>
      <c r="K152" t="s">
        <v>250</v>
      </c>
      <c r="N152" t="s">
        <v>262</v>
      </c>
      <c r="O152" t="s">
        <v>1497</v>
      </c>
      <c r="P152" t="s">
        <v>248</v>
      </c>
      <c r="Q152" t="s">
        <v>260</v>
      </c>
    </row>
    <row r="153" spans="1:17">
      <c r="A153" t="s">
        <v>1647</v>
      </c>
      <c r="B153" t="s">
        <v>244</v>
      </c>
      <c r="C153">
        <v>2627</v>
      </c>
      <c r="D153" t="s">
        <v>1468</v>
      </c>
      <c r="E153" t="s">
        <v>1476</v>
      </c>
      <c r="F153">
        <v>6</v>
      </c>
      <c r="G153">
        <v>4</v>
      </c>
      <c r="H153" s="19">
        <v>46399</v>
      </c>
      <c r="I153" s="7" t="s">
        <v>1466</v>
      </c>
      <c r="J153">
        <v>1</v>
      </c>
      <c r="K153" t="s">
        <v>247</v>
      </c>
      <c r="N153" t="s">
        <v>263</v>
      </c>
      <c r="O153" t="s">
        <v>1497</v>
      </c>
      <c r="P153" t="s">
        <v>245</v>
      </c>
      <c r="Q153" t="s">
        <v>8</v>
      </c>
    </row>
    <row r="154" spans="1:17">
      <c r="A154" t="s">
        <v>1648</v>
      </c>
      <c r="B154" t="s">
        <v>244</v>
      </c>
      <c r="C154">
        <v>2627</v>
      </c>
      <c r="D154" t="s">
        <v>1468</v>
      </c>
      <c r="E154" t="s">
        <v>1476</v>
      </c>
      <c r="F154">
        <v>6</v>
      </c>
      <c r="G154">
        <v>5</v>
      </c>
      <c r="H154" s="19">
        <v>46399</v>
      </c>
      <c r="I154" s="7" t="s">
        <v>1619</v>
      </c>
      <c r="J154">
        <v>1</v>
      </c>
      <c r="K154" t="s">
        <v>269</v>
      </c>
      <c r="N154" t="s">
        <v>266</v>
      </c>
      <c r="O154" t="s">
        <v>1497</v>
      </c>
      <c r="P154" t="s">
        <v>267</v>
      </c>
      <c r="Q154" t="s">
        <v>264</v>
      </c>
    </row>
    <row r="155" spans="1:17">
      <c r="A155" t="s">
        <v>1649</v>
      </c>
      <c r="B155" t="s">
        <v>244</v>
      </c>
      <c r="C155">
        <v>2627</v>
      </c>
      <c r="D155" t="s">
        <v>1468</v>
      </c>
      <c r="E155" t="s">
        <v>1476</v>
      </c>
      <c r="F155">
        <v>7</v>
      </c>
      <c r="G155">
        <v>1</v>
      </c>
      <c r="H155" s="19">
        <v>46399</v>
      </c>
      <c r="I155" s="7" t="s">
        <v>1466</v>
      </c>
      <c r="J155">
        <v>1</v>
      </c>
      <c r="K155" t="s">
        <v>243</v>
      </c>
      <c r="N155" t="s">
        <v>253</v>
      </c>
      <c r="O155" t="s">
        <v>1497</v>
      </c>
      <c r="P155" t="s">
        <v>241</v>
      </c>
      <c r="Q155" t="s">
        <v>251</v>
      </c>
    </row>
    <row r="156" spans="1:17">
      <c r="A156" t="s">
        <v>1650</v>
      </c>
      <c r="B156" t="s">
        <v>244</v>
      </c>
      <c r="C156">
        <v>2627</v>
      </c>
      <c r="D156" t="s">
        <v>1468</v>
      </c>
      <c r="E156" t="s">
        <v>1476</v>
      </c>
      <c r="F156">
        <v>7</v>
      </c>
      <c r="G156">
        <v>2</v>
      </c>
      <c r="H156" s="19">
        <v>46399</v>
      </c>
      <c r="I156" s="7" t="s">
        <v>1619</v>
      </c>
      <c r="J156">
        <v>1</v>
      </c>
      <c r="K156" t="s">
        <v>256</v>
      </c>
      <c r="N156" t="s">
        <v>250</v>
      </c>
      <c r="O156" t="s">
        <v>1497</v>
      </c>
      <c r="P156" t="s">
        <v>254</v>
      </c>
      <c r="Q156" t="s">
        <v>248</v>
      </c>
    </row>
    <row r="157" spans="1:17">
      <c r="A157" t="s">
        <v>1651</v>
      </c>
      <c r="B157" t="s">
        <v>244</v>
      </c>
      <c r="C157">
        <v>2627</v>
      </c>
      <c r="D157" t="s">
        <v>1468</v>
      </c>
      <c r="E157" t="s">
        <v>1476</v>
      </c>
      <c r="F157">
        <v>7</v>
      </c>
      <c r="G157">
        <v>3</v>
      </c>
      <c r="H157" s="19">
        <v>46399</v>
      </c>
      <c r="I157" s="7" t="s">
        <v>1621</v>
      </c>
      <c r="J157">
        <v>1</v>
      </c>
      <c r="K157" t="s">
        <v>259</v>
      </c>
      <c r="N157" t="s">
        <v>247</v>
      </c>
      <c r="O157" t="s">
        <v>1497</v>
      </c>
      <c r="P157" t="s">
        <v>257</v>
      </c>
      <c r="Q157" t="s">
        <v>245</v>
      </c>
    </row>
    <row r="158" spans="1:17">
      <c r="A158" t="s">
        <v>1652</v>
      </c>
      <c r="B158" t="s">
        <v>244</v>
      </c>
      <c r="C158">
        <v>2627</v>
      </c>
      <c r="D158" t="s">
        <v>1468</v>
      </c>
      <c r="E158" t="s">
        <v>1476</v>
      </c>
      <c r="F158">
        <v>7</v>
      </c>
      <c r="G158">
        <v>4</v>
      </c>
      <c r="H158" s="19">
        <v>46406</v>
      </c>
      <c r="I158" s="7" t="s">
        <v>1466</v>
      </c>
      <c r="J158">
        <v>1</v>
      </c>
      <c r="K158" t="s">
        <v>262</v>
      </c>
      <c r="N158" t="s">
        <v>269</v>
      </c>
      <c r="O158" t="s">
        <v>1497</v>
      </c>
      <c r="P158" t="s">
        <v>260</v>
      </c>
      <c r="Q158" t="s">
        <v>267</v>
      </c>
    </row>
    <row r="159" spans="1:17">
      <c r="A159" t="s">
        <v>1653</v>
      </c>
      <c r="B159" t="s">
        <v>244</v>
      </c>
      <c r="C159">
        <v>2627</v>
      </c>
      <c r="D159" t="s">
        <v>1468</v>
      </c>
      <c r="E159" t="s">
        <v>1476</v>
      </c>
      <c r="F159">
        <v>7</v>
      </c>
      <c r="G159">
        <v>5</v>
      </c>
      <c r="H159" s="19">
        <v>46406</v>
      </c>
      <c r="I159" s="7" t="s">
        <v>1619</v>
      </c>
      <c r="J159">
        <v>1</v>
      </c>
      <c r="K159" t="s">
        <v>263</v>
      </c>
      <c r="N159" t="s">
        <v>266</v>
      </c>
      <c r="O159" t="s">
        <v>1497</v>
      </c>
      <c r="P159" t="s">
        <v>8</v>
      </c>
      <c r="Q159" t="s">
        <v>264</v>
      </c>
    </row>
    <row r="160" spans="1:17">
      <c r="A160" t="s">
        <v>1654</v>
      </c>
      <c r="B160" t="s">
        <v>244</v>
      </c>
      <c r="C160">
        <v>2627</v>
      </c>
      <c r="D160" t="s">
        <v>1468</v>
      </c>
      <c r="E160" t="s">
        <v>1476</v>
      </c>
      <c r="F160">
        <v>8</v>
      </c>
      <c r="G160">
        <v>1</v>
      </c>
      <c r="H160" s="19">
        <v>46406</v>
      </c>
      <c r="I160" s="7" t="s">
        <v>1466</v>
      </c>
      <c r="J160">
        <v>1</v>
      </c>
      <c r="K160" t="s">
        <v>250</v>
      </c>
      <c r="N160" t="s">
        <v>243</v>
      </c>
      <c r="O160" t="s">
        <v>1497</v>
      </c>
      <c r="P160" t="s">
        <v>248</v>
      </c>
      <c r="Q160" t="s">
        <v>241</v>
      </c>
    </row>
    <row r="161" spans="1:17">
      <c r="A161" t="s">
        <v>1655</v>
      </c>
      <c r="B161" t="s">
        <v>244</v>
      </c>
      <c r="C161">
        <v>2627</v>
      </c>
      <c r="D161" t="s">
        <v>1468</v>
      </c>
      <c r="E161" t="s">
        <v>1476</v>
      </c>
      <c r="F161">
        <v>8</v>
      </c>
      <c r="G161">
        <v>2</v>
      </c>
      <c r="H161" s="19">
        <v>46406</v>
      </c>
      <c r="I161" s="7" t="s">
        <v>1619</v>
      </c>
      <c r="J161">
        <v>1</v>
      </c>
      <c r="K161" t="s">
        <v>247</v>
      </c>
      <c r="N161" t="s">
        <v>253</v>
      </c>
      <c r="O161" t="s">
        <v>1497</v>
      </c>
      <c r="P161" t="s">
        <v>245</v>
      </c>
      <c r="Q161" t="s">
        <v>251</v>
      </c>
    </row>
    <row r="162" spans="1:17">
      <c r="A162" t="s">
        <v>1656</v>
      </c>
      <c r="B162" t="s">
        <v>244</v>
      </c>
      <c r="C162">
        <v>2627</v>
      </c>
      <c r="D162" t="s">
        <v>1468</v>
      </c>
      <c r="E162" t="s">
        <v>1476</v>
      </c>
      <c r="F162">
        <v>8</v>
      </c>
      <c r="G162">
        <v>3</v>
      </c>
      <c r="H162" s="19">
        <v>46406</v>
      </c>
      <c r="I162" s="7" t="s">
        <v>1621</v>
      </c>
      <c r="J162">
        <v>1</v>
      </c>
      <c r="K162" t="s">
        <v>269</v>
      </c>
      <c r="N162" t="s">
        <v>256</v>
      </c>
      <c r="O162" t="s">
        <v>1497</v>
      </c>
      <c r="P162" t="s">
        <v>267</v>
      </c>
      <c r="Q162" t="s">
        <v>254</v>
      </c>
    </row>
    <row r="163" spans="1:17">
      <c r="A163" t="s">
        <v>1657</v>
      </c>
      <c r="B163" t="s">
        <v>244</v>
      </c>
      <c r="C163">
        <v>2627</v>
      </c>
      <c r="D163" t="s">
        <v>1468</v>
      </c>
      <c r="E163" t="s">
        <v>1476</v>
      </c>
      <c r="F163">
        <v>8</v>
      </c>
      <c r="G163">
        <v>4</v>
      </c>
      <c r="H163" s="19">
        <v>46413</v>
      </c>
      <c r="I163" s="7" t="s">
        <v>1466</v>
      </c>
      <c r="J163">
        <v>1</v>
      </c>
      <c r="K163" t="s">
        <v>266</v>
      </c>
      <c r="N163" t="s">
        <v>259</v>
      </c>
      <c r="O163" t="s">
        <v>1497</v>
      </c>
      <c r="P163" t="s">
        <v>264</v>
      </c>
      <c r="Q163" t="s">
        <v>257</v>
      </c>
    </row>
    <row r="164" spans="1:17">
      <c r="A164" t="s">
        <v>1658</v>
      </c>
      <c r="B164" t="s">
        <v>244</v>
      </c>
      <c r="C164">
        <v>2627</v>
      </c>
      <c r="D164" t="s">
        <v>1468</v>
      </c>
      <c r="E164" t="s">
        <v>1476</v>
      </c>
      <c r="F164">
        <v>8</v>
      </c>
      <c r="G164">
        <v>5</v>
      </c>
      <c r="H164" s="19">
        <v>46413</v>
      </c>
      <c r="I164" s="7" t="s">
        <v>1619</v>
      </c>
      <c r="J164">
        <v>1</v>
      </c>
      <c r="K164" t="s">
        <v>263</v>
      </c>
      <c r="N164" t="s">
        <v>262</v>
      </c>
      <c r="O164" t="s">
        <v>1497</v>
      </c>
      <c r="P164" t="s">
        <v>8</v>
      </c>
      <c r="Q164" t="s">
        <v>260</v>
      </c>
    </row>
    <row r="165" spans="1:17">
      <c r="A165" t="s">
        <v>1659</v>
      </c>
      <c r="B165" t="s">
        <v>244</v>
      </c>
      <c r="C165">
        <v>2627</v>
      </c>
      <c r="D165" t="s">
        <v>1468</v>
      </c>
      <c r="E165" t="s">
        <v>1476</v>
      </c>
      <c r="F165">
        <v>9</v>
      </c>
      <c r="G165">
        <v>1</v>
      </c>
      <c r="H165" s="19">
        <v>46413</v>
      </c>
      <c r="I165" s="7" t="s">
        <v>1466</v>
      </c>
      <c r="J165">
        <v>1</v>
      </c>
      <c r="K165" t="s">
        <v>243</v>
      </c>
      <c r="N165" t="s">
        <v>247</v>
      </c>
      <c r="O165" t="s">
        <v>1497</v>
      </c>
      <c r="P165" t="s">
        <v>241</v>
      </c>
      <c r="Q165" t="s">
        <v>245</v>
      </c>
    </row>
    <row r="166" spans="1:17">
      <c r="A166" t="s">
        <v>1660</v>
      </c>
      <c r="B166" t="s">
        <v>244</v>
      </c>
      <c r="C166">
        <v>2627</v>
      </c>
      <c r="D166" t="s">
        <v>1468</v>
      </c>
      <c r="E166" t="s">
        <v>1476</v>
      </c>
      <c r="F166">
        <v>9</v>
      </c>
      <c r="G166">
        <v>2</v>
      </c>
      <c r="H166" s="19">
        <v>46413</v>
      </c>
      <c r="I166" s="7" t="s">
        <v>1619</v>
      </c>
      <c r="J166">
        <v>1</v>
      </c>
      <c r="K166" t="s">
        <v>250</v>
      </c>
      <c r="N166" t="s">
        <v>269</v>
      </c>
      <c r="O166" t="s">
        <v>1497</v>
      </c>
      <c r="P166" t="s">
        <v>248</v>
      </c>
      <c r="Q166" t="s">
        <v>267</v>
      </c>
    </row>
    <row r="167" spans="1:17">
      <c r="A167" t="s">
        <v>1661</v>
      </c>
      <c r="B167" t="s">
        <v>244</v>
      </c>
      <c r="C167">
        <v>2627</v>
      </c>
      <c r="D167" t="s">
        <v>1468</v>
      </c>
      <c r="E167" t="s">
        <v>1476</v>
      </c>
      <c r="F167">
        <v>9</v>
      </c>
      <c r="G167">
        <v>3</v>
      </c>
      <c r="H167" s="19">
        <v>46413</v>
      </c>
      <c r="I167" s="7" t="s">
        <v>1621</v>
      </c>
      <c r="J167">
        <v>1</v>
      </c>
      <c r="K167" t="s">
        <v>253</v>
      </c>
      <c r="N167" t="s">
        <v>266</v>
      </c>
      <c r="O167" t="s">
        <v>1497</v>
      </c>
      <c r="P167" t="s">
        <v>251</v>
      </c>
      <c r="Q167" t="s">
        <v>264</v>
      </c>
    </row>
    <row r="168" spans="1:17">
      <c r="A168" t="s">
        <v>1662</v>
      </c>
      <c r="B168" t="s">
        <v>244</v>
      </c>
      <c r="C168">
        <v>2627</v>
      </c>
      <c r="D168" t="s">
        <v>1468</v>
      </c>
      <c r="E168" t="s">
        <v>1476</v>
      </c>
      <c r="F168">
        <v>9</v>
      </c>
      <c r="G168">
        <v>4</v>
      </c>
      <c r="H168" s="19">
        <v>46420</v>
      </c>
      <c r="I168" s="7" t="s">
        <v>1466</v>
      </c>
      <c r="J168">
        <v>1</v>
      </c>
      <c r="K168" t="s">
        <v>256</v>
      </c>
      <c r="N168" t="s">
        <v>263</v>
      </c>
      <c r="O168" t="s">
        <v>1497</v>
      </c>
      <c r="P168" t="s">
        <v>254</v>
      </c>
      <c r="Q168" t="s">
        <v>8</v>
      </c>
    </row>
    <row r="169" spans="1:17">
      <c r="A169" t="s">
        <v>1663</v>
      </c>
      <c r="B169" t="s">
        <v>244</v>
      </c>
      <c r="C169">
        <v>2627</v>
      </c>
      <c r="D169" t="s">
        <v>1468</v>
      </c>
      <c r="E169" t="s">
        <v>1476</v>
      </c>
      <c r="F169">
        <v>9</v>
      </c>
      <c r="G169">
        <v>5</v>
      </c>
      <c r="H169" s="19">
        <v>46420</v>
      </c>
      <c r="I169" s="7" t="s">
        <v>1619</v>
      </c>
      <c r="J169">
        <v>1</v>
      </c>
      <c r="K169" t="s">
        <v>259</v>
      </c>
      <c r="N169" t="s">
        <v>262</v>
      </c>
      <c r="O169" t="s">
        <v>1497</v>
      </c>
      <c r="P169" t="s">
        <v>257</v>
      </c>
      <c r="Q169" t="s">
        <v>260</v>
      </c>
    </row>
    <row r="170" spans="1:17">
      <c r="A170" t="s">
        <v>1664</v>
      </c>
      <c r="B170" t="s">
        <v>37</v>
      </c>
      <c r="C170">
        <v>2627</v>
      </c>
      <c r="D170" t="s">
        <v>1468</v>
      </c>
      <c r="E170" t="s">
        <v>1476</v>
      </c>
      <c r="F170">
        <v>1</v>
      </c>
      <c r="G170">
        <v>1</v>
      </c>
      <c r="H170" s="19">
        <v>46336</v>
      </c>
      <c r="I170" s="7" t="s">
        <v>1466</v>
      </c>
      <c r="J170">
        <v>1</v>
      </c>
      <c r="K170" t="s">
        <v>47</v>
      </c>
      <c r="N170" t="s">
        <v>40</v>
      </c>
      <c r="O170" t="s">
        <v>1497</v>
      </c>
      <c r="P170" t="s">
        <v>46</v>
      </c>
      <c r="Q170" t="s">
        <v>38</v>
      </c>
    </row>
    <row r="171" spans="1:17">
      <c r="A171" t="s">
        <v>1665</v>
      </c>
      <c r="B171" t="s">
        <v>37</v>
      </c>
      <c r="C171">
        <v>2627</v>
      </c>
      <c r="D171" t="s">
        <v>1468</v>
      </c>
      <c r="E171" t="s">
        <v>1476</v>
      </c>
      <c r="F171">
        <v>1</v>
      </c>
      <c r="G171">
        <v>2</v>
      </c>
      <c r="H171" s="19">
        <v>46336</v>
      </c>
      <c r="I171" s="7" t="s">
        <v>1466</v>
      </c>
      <c r="J171">
        <v>2</v>
      </c>
      <c r="K171" t="s">
        <v>79</v>
      </c>
      <c r="N171" t="s">
        <v>49</v>
      </c>
      <c r="O171" t="s">
        <v>1497</v>
      </c>
      <c r="P171" t="s">
        <v>78</v>
      </c>
      <c r="Q171" t="s">
        <v>48</v>
      </c>
    </row>
    <row r="172" spans="1:17">
      <c r="A172" t="s">
        <v>1666</v>
      </c>
      <c r="B172" t="s">
        <v>37</v>
      </c>
      <c r="C172">
        <v>2627</v>
      </c>
      <c r="D172" t="s">
        <v>1468</v>
      </c>
      <c r="E172" t="s">
        <v>1476</v>
      </c>
      <c r="F172">
        <v>1</v>
      </c>
      <c r="G172">
        <v>3</v>
      </c>
      <c r="H172" s="19">
        <v>46336</v>
      </c>
      <c r="I172" s="7" t="s">
        <v>1466</v>
      </c>
      <c r="J172">
        <v>3</v>
      </c>
      <c r="K172" t="s">
        <v>94</v>
      </c>
      <c r="N172" t="s">
        <v>35</v>
      </c>
      <c r="O172" t="s">
        <v>1497</v>
      </c>
      <c r="P172" t="s">
        <v>93</v>
      </c>
      <c r="Q172" t="s">
        <v>32</v>
      </c>
    </row>
    <row r="173" spans="1:17">
      <c r="A173" t="s">
        <v>1667</v>
      </c>
      <c r="B173" t="s">
        <v>37</v>
      </c>
      <c r="C173">
        <v>2627</v>
      </c>
      <c r="D173" t="s">
        <v>1468</v>
      </c>
      <c r="E173" t="s">
        <v>1476</v>
      </c>
      <c r="F173">
        <v>2</v>
      </c>
      <c r="G173">
        <v>1</v>
      </c>
      <c r="H173" s="19">
        <v>46343</v>
      </c>
      <c r="I173" s="7" t="s">
        <v>1466</v>
      </c>
      <c r="J173">
        <v>1</v>
      </c>
      <c r="K173" t="s">
        <v>49</v>
      </c>
      <c r="N173" t="s">
        <v>47</v>
      </c>
      <c r="O173" t="s">
        <v>1497</v>
      </c>
      <c r="P173" t="s">
        <v>48</v>
      </c>
      <c r="Q173" t="s">
        <v>46</v>
      </c>
    </row>
    <row r="174" spans="1:17">
      <c r="A174" t="s">
        <v>1668</v>
      </c>
      <c r="B174" t="s">
        <v>37</v>
      </c>
      <c r="C174">
        <v>2627</v>
      </c>
      <c r="D174" t="s">
        <v>1468</v>
      </c>
      <c r="E174" t="s">
        <v>1476</v>
      </c>
      <c r="F174">
        <v>2</v>
      </c>
      <c r="G174">
        <v>2</v>
      </c>
      <c r="H174" s="19">
        <v>46343</v>
      </c>
      <c r="I174" s="7" t="s">
        <v>1466</v>
      </c>
      <c r="J174">
        <v>2</v>
      </c>
      <c r="K174" t="s">
        <v>35</v>
      </c>
      <c r="N174" t="s">
        <v>40</v>
      </c>
      <c r="O174" t="s">
        <v>1497</v>
      </c>
      <c r="P174" t="s">
        <v>32</v>
      </c>
      <c r="Q174" t="s">
        <v>38</v>
      </c>
    </row>
    <row r="175" spans="1:17">
      <c r="A175" t="s">
        <v>1669</v>
      </c>
      <c r="B175" t="s">
        <v>37</v>
      </c>
      <c r="C175">
        <v>2627</v>
      </c>
      <c r="D175" t="s">
        <v>1468</v>
      </c>
      <c r="E175" t="s">
        <v>1476</v>
      </c>
      <c r="F175">
        <v>2</v>
      </c>
      <c r="G175">
        <v>3</v>
      </c>
      <c r="H175" s="19">
        <v>46343</v>
      </c>
      <c r="I175" s="7" t="s">
        <v>1466</v>
      </c>
      <c r="J175">
        <v>3</v>
      </c>
      <c r="K175" t="s">
        <v>94</v>
      </c>
      <c r="N175" t="s">
        <v>79</v>
      </c>
      <c r="O175" t="s">
        <v>1497</v>
      </c>
      <c r="P175" t="s">
        <v>93</v>
      </c>
      <c r="Q175" t="s">
        <v>78</v>
      </c>
    </row>
    <row r="176" spans="1:17">
      <c r="A176" t="s">
        <v>1670</v>
      </c>
      <c r="B176" t="s">
        <v>37</v>
      </c>
      <c r="C176">
        <v>2627</v>
      </c>
      <c r="D176" t="s">
        <v>1468</v>
      </c>
      <c r="E176" t="s">
        <v>1476</v>
      </c>
      <c r="F176">
        <v>3</v>
      </c>
      <c r="G176">
        <v>1</v>
      </c>
      <c r="H176" s="19">
        <v>46350</v>
      </c>
      <c r="I176" s="7" t="s">
        <v>1466</v>
      </c>
      <c r="J176">
        <v>1</v>
      </c>
      <c r="K176" t="s">
        <v>47</v>
      </c>
      <c r="N176" t="s">
        <v>35</v>
      </c>
      <c r="O176" t="s">
        <v>1497</v>
      </c>
      <c r="P176" t="s">
        <v>46</v>
      </c>
      <c r="Q176" t="s">
        <v>32</v>
      </c>
    </row>
    <row r="177" spans="1:17">
      <c r="A177" t="s">
        <v>1671</v>
      </c>
      <c r="B177" t="s">
        <v>37</v>
      </c>
      <c r="C177">
        <v>2627</v>
      </c>
      <c r="D177" t="s">
        <v>1468</v>
      </c>
      <c r="E177" t="s">
        <v>1476</v>
      </c>
      <c r="F177">
        <v>3</v>
      </c>
      <c r="G177">
        <v>2</v>
      </c>
      <c r="H177" s="19">
        <v>46350</v>
      </c>
      <c r="I177" s="7" t="s">
        <v>1466</v>
      </c>
      <c r="J177">
        <v>2</v>
      </c>
      <c r="K177" t="s">
        <v>49</v>
      </c>
      <c r="N177" t="s">
        <v>94</v>
      </c>
      <c r="O177" t="s">
        <v>1497</v>
      </c>
      <c r="P177" t="s">
        <v>48</v>
      </c>
      <c r="Q177" t="s">
        <v>93</v>
      </c>
    </row>
    <row r="178" spans="1:17">
      <c r="A178" t="s">
        <v>1672</v>
      </c>
      <c r="B178" t="s">
        <v>37</v>
      </c>
      <c r="C178">
        <v>2627</v>
      </c>
      <c r="D178" t="s">
        <v>1468</v>
      </c>
      <c r="E178" t="s">
        <v>1476</v>
      </c>
      <c r="F178">
        <v>3</v>
      </c>
      <c r="G178">
        <v>3</v>
      </c>
      <c r="H178" s="19">
        <v>46350</v>
      </c>
      <c r="I178" s="7" t="s">
        <v>1466</v>
      </c>
      <c r="J178">
        <v>3</v>
      </c>
      <c r="K178" t="s">
        <v>40</v>
      </c>
      <c r="N178" t="s">
        <v>79</v>
      </c>
      <c r="O178" t="s">
        <v>1497</v>
      </c>
      <c r="P178" t="s">
        <v>38</v>
      </c>
      <c r="Q178" t="s">
        <v>78</v>
      </c>
    </row>
    <row r="179" spans="1:17">
      <c r="A179" t="s">
        <v>1673</v>
      </c>
      <c r="B179" t="s">
        <v>37</v>
      </c>
      <c r="C179">
        <v>2627</v>
      </c>
      <c r="D179" t="s">
        <v>1468</v>
      </c>
      <c r="E179" t="s">
        <v>1476</v>
      </c>
      <c r="F179">
        <v>4</v>
      </c>
      <c r="G179">
        <v>1</v>
      </c>
      <c r="H179" s="19">
        <v>46357</v>
      </c>
      <c r="I179" s="7" t="s">
        <v>1466</v>
      </c>
      <c r="J179">
        <v>1</v>
      </c>
      <c r="K179" t="s">
        <v>94</v>
      </c>
      <c r="N179" t="s">
        <v>47</v>
      </c>
      <c r="O179" t="s">
        <v>1497</v>
      </c>
      <c r="P179" t="s">
        <v>93</v>
      </c>
      <c r="Q179" t="s">
        <v>46</v>
      </c>
    </row>
    <row r="180" spans="1:17">
      <c r="A180" t="s">
        <v>1674</v>
      </c>
      <c r="B180" t="s">
        <v>37</v>
      </c>
      <c r="C180">
        <v>2627</v>
      </c>
      <c r="D180" t="s">
        <v>1468</v>
      </c>
      <c r="E180" t="s">
        <v>1476</v>
      </c>
      <c r="F180">
        <v>4</v>
      </c>
      <c r="G180">
        <v>2</v>
      </c>
      <c r="H180" s="19">
        <v>46357</v>
      </c>
      <c r="I180" s="7" t="s">
        <v>1466</v>
      </c>
      <c r="J180">
        <v>2</v>
      </c>
      <c r="K180" t="s">
        <v>79</v>
      </c>
      <c r="N180" t="s">
        <v>35</v>
      </c>
      <c r="O180" t="s">
        <v>1497</v>
      </c>
      <c r="P180" t="s">
        <v>78</v>
      </c>
      <c r="Q180" t="s">
        <v>32</v>
      </c>
    </row>
    <row r="181" spans="1:17">
      <c r="A181" t="s">
        <v>1675</v>
      </c>
      <c r="B181" t="s">
        <v>37</v>
      </c>
      <c r="C181">
        <v>2627</v>
      </c>
      <c r="D181" t="s">
        <v>1468</v>
      </c>
      <c r="E181" t="s">
        <v>1476</v>
      </c>
      <c r="F181">
        <v>4</v>
      </c>
      <c r="G181">
        <v>3</v>
      </c>
      <c r="H181" s="19">
        <v>46357</v>
      </c>
      <c r="I181" s="7" t="s">
        <v>1466</v>
      </c>
      <c r="J181">
        <v>3</v>
      </c>
      <c r="K181" t="s">
        <v>40</v>
      </c>
      <c r="N181" t="s">
        <v>49</v>
      </c>
      <c r="O181" t="s">
        <v>1497</v>
      </c>
      <c r="P181" t="s">
        <v>38</v>
      </c>
      <c r="Q181" t="s">
        <v>48</v>
      </c>
    </row>
    <row r="182" spans="1:17">
      <c r="A182" t="s">
        <v>1676</v>
      </c>
      <c r="B182" t="s">
        <v>37</v>
      </c>
      <c r="C182">
        <v>2627</v>
      </c>
      <c r="D182" t="s">
        <v>1468</v>
      </c>
      <c r="E182" t="s">
        <v>1476</v>
      </c>
      <c r="F182">
        <v>5</v>
      </c>
      <c r="G182">
        <v>1</v>
      </c>
      <c r="H182" s="19">
        <v>46371</v>
      </c>
      <c r="I182" s="7" t="s">
        <v>1466</v>
      </c>
      <c r="J182">
        <v>1</v>
      </c>
      <c r="K182" t="s">
        <v>47</v>
      </c>
      <c r="N182" t="s">
        <v>79</v>
      </c>
      <c r="O182" t="s">
        <v>1497</v>
      </c>
      <c r="P182" t="s">
        <v>46</v>
      </c>
      <c r="Q182" t="s">
        <v>78</v>
      </c>
    </row>
    <row r="183" spans="1:17">
      <c r="A183" t="s">
        <v>1677</v>
      </c>
      <c r="B183" t="s">
        <v>37</v>
      </c>
      <c r="C183">
        <v>2627</v>
      </c>
      <c r="D183" t="s">
        <v>1468</v>
      </c>
      <c r="E183" t="s">
        <v>1476</v>
      </c>
      <c r="F183">
        <v>5</v>
      </c>
      <c r="G183">
        <v>2</v>
      </c>
      <c r="H183" s="19">
        <v>46371</v>
      </c>
      <c r="I183" s="7" t="s">
        <v>1466</v>
      </c>
      <c r="J183">
        <v>2</v>
      </c>
      <c r="K183" t="s">
        <v>94</v>
      </c>
      <c r="N183" t="s">
        <v>40</v>
      </c>
      <c r="O183" t="s">
        <v>1497</v>
      </c>
      <c r="P183" t="s">
        <v>93</v>
      </c>
      <c r="Q183" t="s">
        <v>38</v>
      </c>
    </row>
    <row r="184" spans="1:17">
      <c r="A184" t="s">
        <v>1678</v>
      </c>
      <c r="B184" t="s">
        <v>37</v>
      </c>
      <c r="C184">
        <v>2627</v>
      </c>
      <c r="D184" t="s">
        <v>1468</v>
      </c>
      <c r="E184" t="s">
        <v>1476</v>
      </c>
      <c r="F184">
        <v>5</v>
      </c>
      <c r="G184">
        <v>3</v>
      </c>
      <c r="H184" s="19">
        <v>46371</v>
      </c>
      <c r="I184" s="7" t="s">
        <v>1466</v>
      </c>
      <c r="J184">
        <v>3</v>
      </c>
      <c r="K184" t="s">
        <v>35</v>
      </c>
      <c r="N184" t="s">
        <v>49</v>
      </c>
      <c r="O184" t="s">
        <v>1497</v>
      </c>
      <c r="P184" t="s">
        <v>32</v>
      </c>
      <c r="Q184" t="s">
        <v>48</v>
      </c>
    </row>
    <row r="185" spans="1:17">
      <c r="A185" t="s">
        <v>1679</v>
      </c>
      <c r="B185" t="s">
        <v>37</v>
      </c>
      <c r="C185">
        <v>2627</v>
      </c>
      <c r="D185" t="s">
        <v>1468</v>
      </c>
      <c r="E185" t="s">
        <v>1476</v>
      </c>
      <c r="F185">
        <v>6</v>
      </c>
      <c r="G185">
        <v>1</v>
      </c>
      <c r="H185" s="19">
        <v>46378</v>
      </c>
      <c r="I185" s="7" t="s">
        <v>1466</v>
      </c>
      <c r="J185">
        <v>1</v>
      </c>
      <c r="K185" t="s">
        <v>40</v>
      </c>
      <c r="N185" t="s">
        <v>47</v>
      </c>
      <c r="O185" t="s">
        <v>1497</v>
      </c>
      <c r="P185" t="s">
        <v>38</v>
      </c>
      <c r="Q185" t="s">
        <v>46</v>
      </c>
    </row>
    <row r="186" spans="1:17">
      <c r="A186" t="s">
        <v>1680</v>
      </c>
      <c r="B186" t="s">
        <v>37</v>
      </c>
      <c r="C186">
        <v>2627</v>
      </c>
      <c r="D186" t="s">
        <v>1468</v>
      </c>
      <c r="E186" t="s">
        <v>1476</v>
      </c>
      <c r="F186">
        <v>6</v>
      </c>
      <c r="G186">
        <v>2</v>
      </c>
      <c r="H186" s="19">
        <v>46378</v>
      </c>
      <c r="I186" s="7" t="s">
        <v>1466</v>
      </c>
      <c r="J186">
        <v>2</v>
      </c>
      <c r="K186" t="s">
        <v>49</v>
      </c>
      <c r="N186" t="s">
        <v>79</v>
      </c>
      <c r="O186" t="s">
        <v>1497</v>
      </c>
      <c r="P186" t="s">
        <v>48</v>
      </c>
      <c r="Q186" t="s">
        <v>78</v>
      </c>
    </row>
    <row r="187" spans="1:17">
      <c r="A187" t="s">
        <v>1681</v>
      </c>
      <c r="B187" t="s">
        <v>37</v>
      </c>
      <c r="C187">
        <v>2627</v>
      </c>
      <c r="D187" t="s">
        <v>1468</v>
      </c>
      <c r="E187" t="s">
        <v>1476</v>
      </c>
      <c r="F187">
        <v>6</v>
      </c>
      <c r="G187">
        <v>3</v>
      </c>
      <c r="H187" s="19">
        <v>46378</v>
      </c>
      <c r="I187" s="7" t="s">
        <v>1466</v>
      </c>
      <c r="J187">
        <v>3</v>
      </c>
      <c r="K187" t="s">
        <v>35</v>
      </c>
      <c r="N187" t="s">
        <v>94</v>
      </c>
      <c r="O187" t="s">
        <v>1497</v>
      </c>
      <c r="P187" t="s">
        <v>32</v>
      </c>
      <c r="Q187" t="s">
        <v>93</v>
      </c>
    </row>
    <row r="188" spans="1:17">
      <c r="A188" t="s">
        <v>1682</v>
      </c>
      <c r="B188" t="s">
        <v>37</v>
      </c>
      <c r="C188">
        <v>2627</v>
      </c>
      <c r="D188" t="s">
        <v>1468</v>
      </c>
      <c r="E188" t="s">
        <v>1476</v>
      </c>
      <c r="F188">
        <v>7</v>
      </c>
      <c r="G188">
        <v>1</v>
      </c>
      <c r="H188" s="19">
        <v>46399</v>
      </c>
      <c r="I188" s="7" t="s">
        <v>1466</v>
      </c>
      <c r="J188">
        <v>1</v>
      </c>
      <c r="K188" t="s">
        <v>47</v>
      </c>
      <c r="N188" t="s">
        <v>49</v>
      </c>
      <c r="O188" t="s">
        <v>1497</v>
      </c>
      <c r="P188" t="s">
        <v>46</v>
      </c>
      <c r="Q188" t="s">
        <v>48</v>
      </c>
    </row>
    <row r="189" spans="1:17">
      <c r="A189" t="s">
        <v>1683</v>
      </c>
      <c r="B189" t="s">
        <v>37</v>
      </c>
      <c r="C189">
        <v>2627</v>
      </c>
      <c r="D189" t="s">
        <v>1468</v>
      </c>
      <c r="E189" t="s">
        <v>1476</v>
      </c>
      <c r="F189">
        <v>7</v>
      </c>
      <c r="G189">
        <v>2</v>
      </c>
      <c r="H189" s="19">
        <v>46399</v>
      </c>
      <c r="I189" s="7" t="s">
        <v>1466</v>
      </c>
      <c r="J189">
        <v>2</v>
      </c>
      <c r="K189" t="s">
        <v>40</v>
      </c>
      <c r="N189" t="s">
        <v>35</v>
      </c>
      <c r="O189" t="s">
        <v>1497</v>
      </c>
      <c r="P189" t="s">
        <v>38</v>
      </c>
      <c r="Q189" t="s">
        <v>32</v>
      </c>
    </row>
    <row r="190" spans="1:17">
      <c r="A190" t="s">
        <v>1684</v>
      </c>
      <c r="B190" t="s">
        <v>37</v>
      </c>
      <c r="C190">
        <v>2627</v>
      </c>
      <c r="D190" t="s">
        <v>1468</v>
      </c>
      <c r="E190" t="s">
        <v>1476</v>
      </c>
      <c r="F190">
        <v>7</v>
      </c>
      <c r="G190">
        <v>3</v>
      </c>
      <c r="H190" s="19">
        <v>46399</v>
      </c>
      <c r="I190" s="7" t="s">
        <v>1466</v>
      </c>
      <c r="J190">
        <v>3</v>
      </c>
      <c r="K190" t="s">
        <v>79</v>
      </c>
      <c r="N190" t="s">
        <v>94</v>
      </c>
      <c r="O190" t="s">
        <v>1497</v>
      </c>
      <c r="P190" t="s">
        <v>78</v>
      </c>
      <c r="Q190" t="s">
        <v>93</v>
      </c>
    </row>
    <row r="191" spans="1:17">
      <c r="A191" t="s">
        <v>1685</v>
      </c>
      <c r="B191" t="s">
        <v>37</v>
      </c>
      <c r="C191">
        <v>2627</v>
      </c>
      <c r="D191" t="s">
        <v>1468</v>
      </c>
      <c r="E191" t="s">
        <v>1476</v>
      </c>
      <c r="F191">
        <v>8</v>
      </c>
      <c r="G191">
        <v>1</v>
      </c>
      <c r="H191" s="19">
        <v>46406</v>
      </c>
      <c r="I191" s="7" t="s">
        <v>1466</v>
      </c>
      <c r="J191">
        <v>1</v>
      </c>
      <c r="K191" t="s">
        <v>35</v>
      </c>
      <c r="N191" t="s">
        <v>47</v>
      </c>
      <c r="O191" t="s">
        <v>1497</v>
      </c>
      <c r="P191" t="s">
        <v>32</v>
      </c>
      <c r="Q191" t="s">
        <v>46</v>
      </c>
    </row>
    <row r="192" spans="1:17">
      <c r="A192" t="s">
        <v>1686</v>
      </c>
      <c r="B192" t="s">
        <v>37</v>
      </c>
      <c r="C192">
        <v>2627</v>
      </c>
      <c r="D192" t="s">
        <v>1468</v>
      </c>
      <c r="E192" t="s">
        <v>1476</v>
      </c>
      <c r="F192">
        <v>8</v>
      </c>
      <c r="G192">
        <v>2</v>
      </c>
      <c r="H192" s="19">
        <v>46406</v>
      </c>
      <c r="I192" s="7" t="s">
        <v>1466</v>
      </c>
      <c r="J192">
        <v>2</v>
      </c>
      <c r="K192" t="s">
        <v>94</v>
      </c>
      <c r="N192" t="s">
        <v>49</v>
      </c>
      <c r="O192" t="s">
        <v>1497</v>
      </c>
      <c r="P192" t="s">
        <v>93</v>
      </c>
      <c r="Q192" t="s">
        <v>48</v>
      </c>
    </row>
    <row r="193" spans="1:17">
      <c r="A193" t="s">
        <v>1687</v>
      </c>
      <c r="B193" t="s">
        <v>37</v>
      </c>
      <c r="C193">
        <v>2627</v>
      </c>
      <c r="D193" t="s">
        <v>1468</v>
      </c>
      <c r="E193" t="s">
        <v>1476</v>
      </c>
      <c r="F193">
        <v>8</v>
      </c>
      <c r="G193">
        <v>3</v>
      </c>
      <c r="H193" s="19">
        <v>46406</v>
      </c>
      <c r="I193" s="7" t="s">
        <v>1466</v>
      </c>
      <c r="J193">
        <v>3</v>
      </c>
      <c r="K193" t="s">
        <v>79</v>
      </c>
      <c r="N193" t="s">
        <v>40</v>
      </c>
      <c r="O193" t="s">
        <v>1497</v>
      </c>
      <c r="P193" t="s">
        <v>78</v>
      </c>
      <c r="Q193" t="s">
        <v>38</v>
      </c>
    </row>
    <row r="194" spans="1:17">
      <c r="A194" t="s">
        <v>1688</v>
      </c>
      <c r="B194" t="s">
        <v>37</v>
      </c>
      <c r="C194">
        <v>2627</v>
      </c>
      <c r="D194" t="s">
        <v>1468</v>
      </c>
      <c r="E194" t="s">
        <v>1476</v>
      </c>
      <c r="F194">
        <v>9</v>
      </c>
      <c r="G194">
        <v>1</v>
      </c>
      <c r="H194" s="19">
        <v>46413</v>
      </c>
      <c r="I194" s="7" t="s">
        <v>1466</v>
      </c>
      <c r="J194">
        <v>1</v>
      </c>
      <c r="K194" t="s">
        <v>47</v>
      </c>
      <c r="N194" t="s">
        <v>94</v>
      </c>
      <c r="O194" t="s">
        <v>1497</v>
      </c>
      <c r="P194" t="s">
        <v>46</v>
      </c>
      <c r="Q194" t="s">
        <v>93</v>
      </c>
    </row>
    <row r="195" spans="1:17">
      <c r="A195" t="s">
        <v>1689</v>
      </c>
      <c r="B195" t="s">
        <v>37</v>
      </c>
      <c r="C195">
        <v>2627</v>
      </c>
      <c r="D195" t="s">
        <v>1468</v>
      </c>
      <c r="E195" t="s">
        <v>1476</v>
      </c>
      <c r="F195">
        <v>9</v>
      </c>
      <c r="G195">
        <v>2</v>
      </c>
      <c r="H195" s="19">
        <v>46413</v>
      </c>
      <c r="I195" s="7" t="s">
        <v>1466</v>
      </c>
      <c r="J195">
        <v>2</v>
      </c>
      <c r="K195" t="s">
        <v>35</v>
      </c>
      <c r="N195" t="s">
        <v>79</v>
      </c>
      <c r="O195" t="s">
        <v>1497</v>
      </c>
      <c r="P195" t="s">
        <v>32</v>
      </c>
      <c r="Q195" t="s">
        <v>78</v>
      </c>
    </row>
    <row r="196" spans="1:17">
      <c r="A196" t="s">
        <v>1690</v>
      </c>
      <c r="B196" t="s">
        <v>37</v>
      </c>
      <c r="C196">
        <v>2627</v>
      </c>
      <c r="D196" t="s">
        <v>1468</v>
      </c>
      <c r="E196" t="s">
        <v>1476</v>
      </c>
      <c r="F196">
        <v>9</v>
      </c>
      <c r="G196">
        <v>3</v>
      </c>
      <c r="H196" s="19">
        <v>46413</v>
      </c>
      <c r="I196" s="7" t="s">
        <v>1466</v>
      </c>
      <c r="J196">
        <v>3</v>
      </c>
      <c r="K196" t="s">
        <v>49</v>
      </c>
      <c r="N196" t="s">
        <v>40</v>
      </c>
      <c r="O196" t="s">
        <v>1497</v>
      </c>
      <c r="P196" t="s">
        <v>48</v>
      </c>
      <c r="Q196" t="s">
        <v>38</v>
      </c>
    </row>
    <row r="197" spans="1:17">
      <c r="A197" t="s">
        <v>1691</v>
      </c>
      <c r="B197" t="s">
        <v>37</v>
      </c>
      <c r="C197">
        <v>2627</v>
      </c>
      <c r="D197" t="s">
        <v>1468</v>
      </c>
      <c r="E197" t="s">
        <v>1476</v>
      </c>
      <c r="F197">
        <v>10</v>
      </c>
      <c r="G197">
        <v>1</v>
      </c>
      <c r="H197" s="19">
        <v>46420</v>
      </c>
      <c r="I197" s="7" t="s">
        <v>1466</v>
      </c>
      <c r="J197">
        <v>1</v>
      </c>
      <c r="K197" t="s">
        <v>79</v>
      </c>
      <c r="N197" t="s">
        <v>47</v>
      </c>
      <c r="O197" t="s">
        <v>1497</v>
      </c>
      <c r="P197" t="s">
        <v>78</v>
      </c>
      <c r="Q197" t="s">
        <v>46</v>
      </c>
    </row>
    <row r="198" spans="1:17">
      <c r="A198" t="s">
        <v>1692</v>
      </c>
      <c r="B198" t="s">
        <v>37</v>
      </c>
      <c r="C198">
        <v>2627</v>
      </c>
      <c r="D198" t="s">
        <v>1468</v>
      </c>
      <c r="E198" t="s">
        <v>1476</v>
      </c>
      <c r="F198">
        <v>10</v>
      </c>
      <c r="G198">
        <v>2</v>
      </c>
      <c r="H198" s="19">
        <v>46420</v>
      </c>
      <c r="I198" s="7" t="s">
        <v>1466</v>
      </c>
      <c r="J198">
        <v>2</v>
      </c>
      <c r="K198" t="s">
        <v>40</v>
      </c>
      <c r="N198" t="s">
        <v>94</v>
      </c>
      <c r="O198" t="s">
        <v>1497</v>
      </c>
      <c r="P198" t="s">
        <v>38</v>
      </c>
      <c r="Q198" t="s">
        <v>93</v>
      </c>
    </row>
    <row r="199" spans="1:17">
      <c r="A199" t="s">
        <v>1693</v>
      </c>
      <c r="B199" t="s">
        <v>37</v>
      </c>
      <c r="C199">
        <v>2627</v>
      </c>
      <c r="D199" t="s">
        <v>1468</v>
      </c>
      <c r="E199" t="s">
        <v>1476</v>
      </c>
      <c r="F199">
        <v>10</v>
      </c>
      <c r="G199">
        <v>3</v>
      </c>
      <c r="H199" s="19">
        <v>46420</v>
      </c>
      <c r="I199" s="7" t="s">
        <v>1466</v>
      </c>
      <c r="J199">
        <v>3</v>
      </c>
      <c r="K199" t="s">
        <v>49</v>
      </c>
      <c r="N199" t="s">
        <v>35</v>
      </c>
      <c r="O199" t="s">
        <v>1497</v>
      </c>
      <c r="P199" t="s">
        <v>48</v>
      </c>
      <c r="Q199" t="s">
        <v>32</v>
      </c>
    </row>
    <row r="200" spans="1:17">
      <c r="A200" t="s">
        <v>1694</v>
      </c>
      <c r="B200" t="s">
        <v>13</v>
      </c>
      <c r="C200">
        <v>2627</v>
      </c>
      <c r="D200" t="s">
        <v>1473</v>
      </c>
      <c r="E200" t="s">
        <v>1469</v>
      </c>
      <c r="F200">
        <v>1</v>
      </c>
      <c r="G200">
        <v>1</v>
      </c>
      <c r="H200" s="19">
        <v>46344</v>
      </c>
      <c r="I200" s="7" t="s">
        <v>1466</v>
      </c>
      <c r="J200">
        <v>1</v>
      </c>
      <c r="K200" t="s">
        <v>31</v>
      </c>
      <c r="N200" t="s">
        <v>26</v>
      </c>
      <c r="O200" t="s">
        <v>1497</v>
      </c>
      <c r="P200" t="s">
        <v>30</v>
      </c>
      <c r="Q200" t="s">
        <v>24</v>
      </c>
    </row>
    <row r="201" spans="1:17">
      <c r="A201" t="s">
        <v>1695</v>
      </c>
      <c r="B201" t="s">
        <v>13</v>
      </c>
      <c r="C201">
        <v>2627</v>
      </c>
      <c r="D201" t="s">
        <v>1473</v>
      </c>
      <c r="E201" t="s">
        <v>1469</v>
      </c>
      <c r="F201">
        <v>1</v>
      </c>
      <c r="G201">
        <v>2</v>
      </c>
      <c r="H201" s="19">
        <v>46344</v>
      </c>
      <c r="I201" s="7" t="s">
        <v>1466</v>
      </c>
      <c r="J201">
        <v>2</v>
      </c>
      <c r="K201" t="s">
        <v>57</v>
      </c>
      <c r="N201" t="s">
        <v>29</v>
      </c>
      <c r="O201" t="s">
        <v>1497</v>
      </c>
      <c r="P201" t="s">
        <v>55</v>
      </c>
      <c r="Q201" t="s">
        <v>28</v>
      </c>
    </row>
    <row r="202" spans="1:17">
      <c r="A202" t="s">
        <v>1696</v>
      </c>
      <c r="B202" t="s">
        <v>13</v>
      </c>
      <c r="C202">
        <v>2627</v>
      </c>
      <c r="D202" t="s">
        <v>1473</v>
      </c>
      <c r="E202" t="s">
        <v>1469</v>
      </c>
      <c r="F202">
        <v>1</v>
      </c>
      <c r="G202">
        <v>3</v>
      </c>
      <c r="H202" s="19">
        <v>46344</v>
      </c>
      <c r="I202" s="7" t="s">
        <v>1466</v>
      </c>
      <c r="J202">
        <v>3</v>
      </c>
      <c r="K202" t="s">
        <v>77</v>
      </c>
      <c r="N202" t="s">
        <v>85</v>
      </c>
      <c r="O202" t="s">
        <v>1497</v>
      </c>
      <c r="P202" t="s">
        <v>76</v>
      </c>
      <c r="Q202" t="s">
        <v>83</v>
      </c>
    </row>
    <row r="203" spans="1:17">
      <c r="A203" t="s">
        <v>1697</v>
      </c>
      <c r="B203" t="s">
        <v>13</v>
      </c>
      <c r="C203">
        <v>2627</v>
      </c>
      <c r="D203" t="s">
        <v>1473</v>
      </c>
      <c r="E203" t="s">
        <v>1469</v>
      </c>
      <c r="F203">
        <v>1</v>
      </c>
      <c r="G203">
        <v>4</v>
      </c>
      <c r="H203" s="19">
        <v>46344</v>
      </c>
      <c r="I203" s="7" t="s">
        <v>1466</v>
      </c>
      <c r="J203">
        <v>4</v>
      </c>
      <c r="K203" t="s">
        <v>60</v>
      </c>
      <c r="N203" t="s">
        <v>18</v>
      </c>
      <c r="O203" t="s">
        <v>1497</v>
      </c>
      <c r="P203" t="s">
        <v>59</v>
      </c>
      <c r="Q203" t="s">
        <v>17</v>
      </c>
    </row>
    <row r="204" spans="1:17">
      <c r="A204" t="s">
        <v>1698</v>
      </c>
      <c r="B204" t="s">
        <v>13</v>
      </c>
      <c r="C204">
        <v>2627</v>
      </c>
      <c r="D204" t="s">
        <v>1473</v>
      </c>
      <c r="E204" t="s">
        <v>1469</v>
      </c>
      <c r="F204">
        <v>1</v>
      </c>
      <c r="G204">
        <v>5</v>
      </c>
      <c r="H204" s="19">
        <v>46344</v>
      </c>
      <c r="I204" s="7" t="s">
        <v>1466</v>
      </c>
      <c r="J204">
        <v>5</v>
      </c>
      <c r="K204" t="s">
        <v>53</v>
      </c>
      <c r="N204" t="s">
        <v>74</v>
      </c>
      <c r="O204" t="s">
        <v>1497</v>
      </c>
      <c r="P204" t="s">
        <v>52</v>
      </c>
      <c r="Q204" t="s">
        <v>72</v>
      </c>
    </row>
    <row r="205" spans="1:17">
      <c r="A205" t="s">
        <v>1699</v>
      </c>
      <c r="B205" t="s">
        <v>13</v>
      </c>
      <c r="C205">
        <v>2627</v>
      </c>
      <c r="D205" t="s">
        <v>1473</v>
      </c>
      <c r="E205" t="s">
        <v>1472</v>
      </c>
      <c r="F205">
        <v>1</v>
      </c>
      <c r="G205">
        <v>1</v>
      </c>
      <c r="H205" s="19">
        <v>46344</v>
      </c>
      <c r="I205" s="7" t="s">
        <v>1470</v>
      </c>
      <c r="J205">
        <v>1</v>
      </c>
      <c r="K205" t="s">
        <v>44</v>
      </c>
      <c r="N205" t="s">
        <v>40</v>
      </c>
      <c r="O205" t="s">
        <v>1497</v>
      </c>
      <c r="P205" t="s">
        <v>43</v>
      </c>
      <c r="Q205" t="s">
        <v>38</v>
      </c>
    </row>
    <row r="206" spans="1:17">
      <c r="A206" t="s">
        <v>1700</v>
      </c>
      <c r="B206" t="s">
        <v>13</v>
      </c>
      <c r="C206">
        <v>2627</v>
      </c>
      <c r="D206" t="s">
        <v>1473</v>
      </c>
      <c r="E206" t="s">
        <v>1472</v>
      </c>
      <c r="F206">
        <v>1</v>
      </c>
      <c r="G206">
        <v>2</v>
      </c>
      <c r="H206" s="19">
        <v>46344</v>
      </c>
      <c r="I206" s="7" t="s">
        <v>1470</v>
      </c>
      <c r="J206">
        <v>2</v>
      </c>
      <c r="K206" t="s">
        <v>70</v>
      </c>
      <c r="N206" t="s">
        <v>22</v>
      </c>
      <c r="O206" t="s">
        <v>1497</v>
      </c>
      <c r="P206" t="s">
        <v>68</v>
      </c>
      <c r="Q206" t="s">
        <v>21</v>
      </c>
    </row>
    <row r="207" spans="1:17">
      <c r="A207" t="s">
        <v>1701</v>
      </c>
      <c r="B207" t="s">
        <v>13</v>
      </c>
      <c r="C207">
        <v>2627</v>
      </c>
      <c r="D207" t="s">
        <v>1473</v>
      </c>
      <c r="E207" t="s">
        <v>1472</v>
      </c>
      <c r="F207">
        <v>1</v>
      </c>
      <c r="G207">
        <v>3</v>
      </c>
      <c r="H207" s="19">
        <v>46344</v>
      </c>
      <c r="I207" s="7" t="s">
        <v>1470</v>
      </c>
      <c r="J207">
        <v>3</v>
      </c>
      <c r="K207" t="s">
        <v>15</v>
      </c>
      <c r="N207" t="s">
        <v>66</v>
      </c>
      <c r="O207" t="s">
        <v>1497</v>
      </c>
      <c r="P207" t="s">
        <v>14</v>
      </c>
      <c r="Q207" t="s">
        <v>64</v>
      </c>
    </row>
    <row r="208" spans="1:17">
      <c r="A208" t="s">
        <v>1702</v>
      </c>
      <c r="B208" t="s">
        <v>13</v>
      </c>
      <c r="C208">
        <v>2627</v>
      </c>
      <c r="D208" t="s">
        <v>1473</v>
      </c>
      <c r="E208" t="s">
        <v>1472</v>
      </c>
      <c r="F208">
        <v>1</v>
      </c>
      <c r="G208">
        <v>4</v>
      </c>
      <c r="H208" s="19">
        <v>46344</v>
      </c>
      <c r="I208" s="7" t="s">
        <v>1470</v>
      </c>
      <c r="J208">
        <v>4</v>
      </c>
      <c r="K208" t="s">
        <v>63</v>
      </c>
      <c r="N208" t="s">
        <v>88</v>
      </c>
      <c r="O208" t="s">
        <v>1497</v>
      </c>
      <c r="P208" t="s">
        <v>61</v>
      </c>
      <c r="Q208" t="s">
        <v>87</v>
      </c>
    </row>
    <row r="209" spans="1:17">
      <c r="A209" t="s">
        <v>1703</v>
      </c>
      <c r="B209" t="s">
        <v>13</v>
      </c>
      <c r="C209">
        <v>2627</v>
      </c>
      <c r="D209" t="s">
        <v>1473</v>
      </c>
      <c r="E209" t="s">
        <v>1472</v>
      </c>
      <c r="F209">
        <v>1</v>
      </c>
      <c r="G209">
        <v>5</v>
      </c>
      <c r="H209" s="19">
        <v>46344</v>
      </c>
      <c r="I209" s="7" t="s">
        <v>1470</v>
      </c>
      <c r="J209">
        <v>5</v>
      </c>
      <c r="K209" t="s">
        <v>98</v>
      </c>
      <c r="N209" t="s">
        <v>82</v>
      </c>
      <c r="O209" t="s">
        <v>1497</v>
      </c>
      <c r="P209" t="s">
        <v>97</v>
      </c>
      <c r="Q209" t="s">
        <v>80</v>
      </c>
    </row>
    <row r="210" spans="1:17">
      <c r="A210" t="s">
        <v>1704</v>
      </c>
      <c r="B210" t="s">
        <v>13</v>
      </c>
      <c r="C210">
        <v>2627</v>
      </c>
      <c r="D210" t="s">
        <v>1473</v>
      </c>
      <c r="E210" t="s">
        <v>1469</v>
      </c>
      <c r="F210">
        <v>2</v>
      </c>
      <c r="G210">
        <v>1</v>
      </c>
      <c r="H210" s="19">
        <v>46351</v>
      </c>
      <c r="I210" s="7" t="s">
        <v>1466</v>
      </c>
      <c r="J210">
        <v>1</v>
      </c>
      <c r="K210" t="s">
        <v>29</v>
      </c>
      <c r="N210" t="s">
        <v>31</v>
      </c>
      <c r="O210" t="s">
        <v>1497</v>
      </c>
      <c r="P210" t="s">
        <v>28</v>
      </c>
      <c r="Q210" t="s">
        <v>30</v>
      </c>
    </row>
    <row r="211" spans="1:17">
      <c r="A211" t="s">
        <v>1705</v>
      </c>
      <c r="B211" t="s">
        <v>13</v>
      </c>
      <c r="C211">
        <v>2627</v>
      </c>
      <c r="D211" t="s">
        <v>1473</v>
      </c>
      <c r="E211" t="s">
        <v>1469</v>
      </c>
      <c r="F211">
        <v>2</v>
      </c>
      <c r="G211">
        <v>2</v>
      </c>
      <c r="H211" s="19">
        <v>46351</v>
      </c>
      <c r="I211" s="7" t="s">
        <v>1466</v>
      </c>
      <c r="J211">
        <v>2</v>
      </c>
      <c r="K211" t="s">
        <v>85</v>
      </c>
      <c r="N211" t="s">
        <v>26</v>
      </c>
      <c r="O211" t="s">
        <v>1497</v>
      </c>
      <c r="P211" t="s">
        <v>83</v>
      </c>
      <c r="Q211" t="s">
        <v>24</v>
      </c>
    </row>
    <row r="212" spans="1:17">
      <c r="A212" t="s">
        <v>1706</v>
      </c>
      <c r="B212" t="s">
        <v>13</v>
      </c>
      <c r="C212">
        <v>2627</v>
      </c>
      <c r="D212" t="s">
        <v>1473</v>
      </c>
      <c r="E212" t="s">
        <v>1469</v>
      </c>
      <c r="F212">
        <v>2</v>
      </c>
      <c r="G212">
        <v>3</v>
      </c>
      <c r="H212" s="19">
        <v>46351</v>
      </c>
      <c r="I212" s="7" t="s">
        <v>1466</v>
      </c>
      <c r="J212">
        <v>3</v>
      </c>
      <c r="K212" t="s">
        <v>18</v>
      </c>
      <c r="N212" t="s">
        <v>57</v>
      </c>
      <c r="O212" t="s">
        <v>1497</v>
      </c>
      <c r="P212" t="s">
        <v>17</v>
      </c>
      <c r="Q212" t="s">
        <v>55</v>
      </c>
    </row>
    <row r="213" spans="1:17">
      <c r="A213" t="s">
        <v>1707</v>
      </c>
      <c r="B213" t="s">
        <v>13</v>
      </c>
      <c r="C213">
        <v>2627</v>
      </c>
      <c r="D213" t="s">
        <v>1473</v>
      </c>
      <c r="E213" t="s">
        <v>1469</v>
      </c>
      <c r="F213">
        <v>2</v>
      </c>
      <c r="G213">
        <v>4</v>
      </c>
      <c r="H213" s="19">
        <v>46351</v>
      </c>
      <c r="I213" s="7" t="s">
        <v>1466</v>
      </c>
      <c r="J213">
        <v>4</v>
      </c>
      <c r="K213" t="s">
        <v>74</v>
      </c>
      <c r="N213" t="s">
        <v>77</v>
      </c>
      <c r="O213" t="s">
        <v>1497</v>
      </c>
      <c r="P213" t="s">
        <v>72</v>
      </c>
      <c r="Q213" t="s">
        <v>76</v>
      </c>
    </row>
    <row r="214" spans="1:17">
      <c r="A214" t="s">
        <v>1708</v>
      </c>
      <c r="B214" t="s">
        <v>13</v>
      </c>
      <c r="C214">
        <v>2627</v>
      </c>
      <c r="D214" t="s">
        <v>1473</v>
      </c>
      <c r="E214" t="s">
        <v>1469</v>
      </c>
      <c r="F214">
        <v>2</v>
      </c>
      <c r="G214">
        <v>5</v>
      </c>
      <c r="H214" s="19">
        <v>46351</v>
      </c>
      <c r="I214" s="7" t="s">
        <v>1466</v>
      </c>
      <c r="J214">
        <v>5</v>
      </c>
      <c r="K214" t="s">
        <v>53</v>
      </c>
      <c r="N214" t="s">
        <v>60</v>
      </c>
      <c r="O214" t="s">
        <v>1497</v>
      </c>
      <c r="P214" t="s">
        <v>52</v>
      </c>
      <c r="Q214" t="s">
        <v>59</v>
      </c>
    </row>
    <row r="215" spans="1:17">
      <c r="A215" t="s">
        <v>1709</v>
      </c>
      <c r="B215" t="s">
        <v>13</v>
      </c>
      <c r="C215">
        <v>2627</v>
      </c>
      <c r="D215" t="s">
        <v>1473</v>
      </c>
      <c r="E215" t="s">
        <v>1472</v>
      </c>
      <c r="F215">
        <v>2</v>
      </c>
      <c r="G215">
        <v>1</v>
      </c>
      <c r="H215" s="19">
        <v>46351</v>
      </c>
      <c r="I215" s="7" t="s">
        <v>1470</v>
      </c>
      <c r="J215">
        <v>1</v>
      </c>
      <c r="K215" t="s">
        <v>40</v>
      </c>
      <c r="N215" t="s">
        <v>91</v>
      </c>
      <c r="O215" t="s">
        <v>1497</v>
      </c>
      <c r="P215" t="s">
        <v>38</v>
      </c>
      <c r="Q215" t="s">
        <v>90</v>
      </c>
    </row>
    <row r="216" spans="1:17">
      <c r="A216" t="s">
        <v>1710</v>
      </c>
      <c r="B216" t="s">
        <v>13</v>
      </c>
      <c r="C216">
        <v>2627</v>
      </c>
      <c r="D216" t="s">
        <v>1473</v>
      </c>
      <c r="E216" t="s">
        <v>1472</v>
      </c>
      <c r="F216">
        <v>2</v>
      </c>
      <c r="G216">
        <v>2</v>
      </c>
      <c r="H216" s="19">
        <v>46351</v>
      </c>
      <c r="I216" s="7" t="s">
        <v>1470</v>
      </c>
      <c r="J216">
        <v>2</v>
      </c>
      <c r="K216" t="s">
        <v>66</v>
      </c>
      <c r="N216" t="s">
        <v>44</v>
      </c>
      <c r="O216" t="s">
        <v>1497</v>
      </c>
      <c r="P216" t="s">
        <v>64</v>
      </c>
      <c r="Q216" t="s">
        <v>43</v>
      </c>
    </row>
    <row r="217" spans="1:17">
      <c r="A217" t="s">
        <v>1711</v>
      </c>
      <c r="B217" t="s">
        <v>13</v>
      </c>
      <c r="C217">
        <v>2627</v>
      </c>
      <c r="D217" t="s">
        <v>1473</v>
      </c>
      <c r="E217" t="s">
        <v>1472</v>
      </c>
      <c r="F217">
        <v>2</v>
      </c>
      <c r="G217">
        <v>3</v>
      </c>
      <c r="H217" s="19">
        <v>46351</v>
      </c>
      <c r="I217" s="7" t="s">
        <v>1470</v>
      </c>
      <c r="J217">
        <v>3</v>
      </c>
      <c r="K217" t="s">
        <v>88</v>
      </c>
      <c r="N217" t="s">
        <v>70</v>
      </c>
      <c r="O217" t="s">
        <v>1497</v>
      </c>
      <c r="P217" t="s">
        <v>87</v>
      </c>
      <c r="Q217" t="s">
        <v>68</v>
      </c>
    </row>
    <row r="218" spans="1:17">
      <c r="A218" t="s">
        <v>1712</v>
      </c>
      <c r="B218" t="s">
        <v>13</v>
      </c>
      <c r="C218">
        <v>2627</v>
      </c>
      <c r="D218" t="s">
        <v>1473</v>
      </c>
      <c r="E218" t="s">
        <v>1472</v>
      </c>
      <c r="F218">
        <v>2</v>
      </c>
      <c r="G218">
        <v>4</v>
      </c>
      <c r="H218" s="19">
        <v>46351</v>
      </c>
      <c r="I218" s="7" t="s">
        <v>1470</v>
      </c>
      <c r="J218">
        <v>4</v>
      </c>
      <c r="K218" t="s">
        <v>82</v>
      </c>
      <c r="N218" t="s">
        <v>15</v>
      </c>
      <c r="O218" t="s">
        <v>1497</v>
      </c>
      <c r="P218" t="s">
        <v>80</v>
      </c>
      <c r="Q218" t="s">
        <v>14</v>
      </c>
    </row>
    <row r="219" spans="1:17">
      <c r="A219" t="s">
        <v>1713</v>
      </c>
      <c r="B219" t="s">
        <v>13</v>
      </c>
      <c r="C219">
        <v>2627</v>
      </c>
      <c r="D219" t="s">
        <v>1473</v>
      </c>
      <c r="E219" t="s">
        <v>1472</v>
      </c>
      <c r="F219">
        <v>2</v>
      </c>
      <c r="G219">
        <v>5</v>
      </c>
      <c r="H219" s="19">
        <v>46351</v>
      </c>
      <c r="I219" s="7" t="s">
        <v>1470</v>
      </c>
      <c r="J219">
        <v>5</v>
      </c>
      <c r="K219" t="s">
        <v>98</v>
      </c>
      <c r="N219" t="s">
        <v>63</v>
      </c>
      <c r="O219" t="s">
        <v>1497</v>
      </c>
      <c r="P219" t="s">
        <v>97</v>
      </c>
      <c r="Q219" t="s">
        <v>61</v>
      </c>
    </row>
    <row r="220" spans="1:17">
      <c r="A220" t="s">
        <v>1714</v>
      </c>
      <c r="B220" t="s">
        <v>13</v>
      </c>
      <c r="C220">
        <v>2627</v>
      </c>
      <c r="D220" t="s">
        <v>1473</v>
      </c>
      <c r="E220" t="s">
        <v>1469</v>
      </c>
      <c r="F220">
        <v>3</v>
      </c>
      <c r="G220">
        <v>1</v>
      </c>
      <c r="H220" s="19">
        <v>46358</v>
      </c>
      <c r="I220" s="7" t="s">
        <v>1466</v>
      </c>
      <c r="J220">
        <v>1</v>
      </c>
      <c r="K220" t="s">
        <v>31</v>
      </c>
      <c r="N220" t="s">
        <v>85</v>
      </c>
      <c r="O220" t="s">
        <v>1497</v>
      </c>
      <c r="P220" t="s">
        <v>30</v>
      </c>
      <c r="Q220" t="s">
        <v>83</v>
      </c>
    </row>
    <row r="221" spans="1:17">
      <c r="A221" t="s">
        <v>1715</v>
      </c>
      <c r="B221" t="s">
        <v>13</v>
      </c>
      <c r="C221">
        <v>2627</v>
      </c>
      <c r="D221" t="s">
        <v>1473</v>
      </c>
      <c r="E221" t="s">
        <v>1469</v>
      </c>
      <c r="F221">
        <v>3</v>
      </c>
      <c r="G221">
        <v>2</v>
      </c>
      <c r="H221" s="19">
        <v>46358</v>
      </c>
      <c r="I221" s="7" t="s">
        <v>1466</v>
      </c>
      <c r="J221">
        <v>2</v>
      </c>
      <c r="K221" t="s">
        <v>29</v>
      </c>
      <c r="N221" t="s">
        <v>18</v>
      </c>
      <c r="O221" t="s">
        <v>1497</v>
      </c>
      <c r="P221" t="s">
        <v>28</v>
      </c>
      <c r="Q221" t="s">
        <v>17</v>
      </c>
    </row>
    <row r="222" spans="1:17">
      <c r="A222" t="s">
        <v>1716</v>
      </c>
      <c r="B222" t="s">
        <v>13</v>
      </c>
      <c r="C222">
        <v>2627</v>
      </c>
      <c r="D222" t="s">
        <v>1473</v>
      </c>
      <c r="E222" t="s">
        <v>1469</v>
      </c>
      <c r="F222">
        <v>3</v>
      </c>
      <c r="G222">
        <v>3</v>
      </c>
      <c r="H222" s="19">
        <v>46358</v>
      </c>
      <c r="I222" s="7" t="s">
        <v>1466</v>
      </c>
      <c r="J222">
        <v>3</v>
      </c>
      <c r="K222" t="s">
        <v>26</v>
      </c>
      <c r="N222" t="s">
        <v>74</v>
      </c>
      <c r="O222" t="s">
        <v>1497</v>
      </c>
      <c r="P222" t="s">
        <v>24</v>
      </c>
      <c r="Q222" t="s">
        <v>72</v>
      </c>
    </row>
    <row r="223" spans="1:17">
      <c r="A223" t="s">
        <v>1717</v>
      </c>
      <c r="B223" t="s">
        <v>13</v>
      </c>
      <c r="C223">
        <v>2627</v>
      </c>
      <c r="D223" t="s">
        <v>1473</v>
      </c>
      <c r="E223" t="s">
        <v>1469</v>
      </c>
      <c r="F223">
        <v>3</v>
      </c>
      <c r="G223">
        <v>4</v>
      </c>
      <c r="H223" s="19">
        <v>46358</v>
      </c>
      <c r="I223" s="7" t="s">
        <v>1466</v>
      </c>
      <c r="J223">
        <v>4</v>
      </c>
      <c r="K223" t="s">
        <v>57</v>
      </c>
      <c r="N223" t="s">
        <v>53</v>
      </c>
      <c r="O223" t="s">
        <v>1497</v>
      </c>
      <c r="P223" t="s">
        <v>55</v>
      </c>
      <c r="Q223" t="s">
        <v>52</v>
      </c>
    </row>
    <row r="224" spans="1:17">
      <c r="A224" t="s">
        <v>1718</v>
      </c>
      <c r="B224" t="s">
        <v>13</v>
      </c>
      <c r="C224">
        <v>2627</v>
      </c>
      <c r="D224" t="s">
        <v>1473</v>
      </c>
      <c r="E224" t="s">
        <v>1469</v>
      </c>
      <c r="F224">
        <v>3</v>
      </c>
      <c r="G224">
        <v>5</v>
      </c>
      <c r="H224" s="19">
        <v>46358</v>
      </c>
      <c r="I224" s="7" t="s">
        <v>1466</v>
      </c>
      <c r="J224">
        <v>5</v>
      </c>
      <c r="K224" t="s">
        <v>77</v>
      </c>
      <c r="N224" t="s">
        <v>60</v>
      </c>
      <c r="O224" t="s">
        <v>1497</v>
      </c>
      <c r="P224" t="s">
        <v>76</v>
      </c>
      <c r="Q224" t="s">
        <v>59</v>
      </c>
    </row>
    <row r="225" spans="1:17">
      <c r="A225" t="s">
        <v>1719</v>
      </c>
      <c r="B225" t="s">
        <v>13</v>
      </c>
      <c r="C225">
        <v>2627</v>
      </c>
      <c r="D225" t="s">
        <v>1473</v>
      </c>
      <c r="E225" t="s">
        <v>1472</v>
      </c>
      <c r="F225">
        <v>3</v>
      </c>
      <c r="G225">
        <v>1</v>
      </c>
      <c r="H225" s="19">
        <v>46358</v>
      </c>
      <c r="I225" s="7" t="s">
        <v>1470</v>
      </c>
      <c r="J225">
        <v>1</v>
      </c>
      <c r="K225" t="s">
        <v>91</v>
      </c>
      <c r="N225" t="s">
        <v>22</v>
      </c>
      <c r="O225" t="s">
        <v>1497</v>
      </c>
      <c r="P225" t="s">
        <v>90</v>
      </c>
      <c r="Q225" t="s">
        <v>21</v>
      </c>
    </row>
    <row r="226" spans="1:17">
      <c r="A226" t="s">
        <v>1720</v>
      </c>
      <c r="B226" t="s">
        <v>13</v>
      </c>
      <c r="C226">
        <v>2627</v>
      </c>
      <c r="D226" t="s">
        <v>1473</v>
      </c>
      <c r="E226" t="s">
        <v>1472</v>
      </c>
      <c r="F226">
        <v>3</v>
      </c>
      <c r="G226">
        <v>2</v>
      </c>
      <c r="H226" s="19">
        <v>46358</v>
      </c>
      <c r="I226" s="7" t="s">
        <v>1470</v>
      </c>
      <c r="J226">
        <v>2</v>
      </c>
      <c r="K226" t="s">
        <v>40</v>
      </c>
      <c r="N226" t="s">
        <v>66</v>
      </c>
      <c r="O226" t="s">
        <v>1497</v>
      </c>
      <c r="P226" t="s">
        <v>38</v>
      </c>
      <c r="Q226" t="s">
        <v>64</v>
      </c>
    </row>
    <row r="227" spans="1:17">
      <c r="A227" t="s">
        <v>1721</v>
      </c>
      <c r="B227" t="s">
        <v>13</v>
      </c>
      <c r="C227">
        <v>2627</v>
      </c>
      <c r="D227" t="s">
        <v>1473</v>
      </c>
      <c r="E227" t="s">
        <v>1472</v>
      </c>
      <c r="F227">
        <v>3</v>
      </c>
      <c r="G227">
        <v>3</v>
      </c>
      <c r="H227" s="19">
        <v>46358</v>
      </c>
      <c r="I227" s="7" t="s">
        <v>1470</v>
      </c>
      <c r="J227">
        <v>3</v>
      </c>
      <c r="K227" t="s">
        <v>44</v>
      </c>
      <c r="N227" t="s">
        <v>82</v>
      </c>
      <c r="O227" t="s">
        <v>1497</v>
      </c>
      <c r="P227" t="s">
        <v>43</v>
      </c>
      <c r="Q227" t="s">
        <v>80</v>
      </c>
    </row>
    <row r="228" spans="1:17">
      <c r="A228" t="s">
        <v>1722</v>
      </c>
      <c r="B228" t="s">
        <v>13</v>
      </c>
      <c r="C228">
        <v>2627</v>
      </c>
      <c r="D228" t="s">
        <v>1473</v>
      </c>
      <c r="E228" t="s">
        <v>1472</v>
      </c>
      <c r="F228">
        <v>3</v>
      </c>
      <c r="G228">
        <v>4</v>
      </c>
      <c r="H228" s="19">
        <v>46358</v>
      </c>
      <c r="I228" s="7" t="s">
        <v>1470</v>
      </c>
      <c r="J228">
        <v>4</v>
      </c>
      <c r="K228" t="s">
        <v>70</v>
      </c>
      <c r="N228" t="s">
        <v>98</v>
      </c>
      <c r="O228" t="s">
        <v>1497</v>
      </c>
      <c r="P228" t="s">
        <v>68</v>
      </c>
      <c r="Q228" t="s">
        <v>97</v>
      </c>
    </row>
    <row r="229" spans="1:17">
      <c r="A229" t="s">
        <v>1723</v>
      </c>
      <c r="B229" t="s">
        <v>13</v>
      </c>
      <c r="C229">
        <v>2627</v>
      </c>
      <c r="D229" t="s">
        <v>1473</v>
      </c>
      <c r="E229" t="s">
        <v>1472</v>
      </c>
      <c r="F229">
        <v>3</v>
      </c>
      <c r="G229">
        <v>5</v>
      </c>
      <c r="H229" s="19">
        <v>46358</v>
      </c>
      <c r="I229" s="7" t="s">
        <v>1470</v>
      </c>
      <c r="J229">
        <v>5</v>
      </c>
      <c r="K229" t="s">
        <v>15</v>
      </c>
      <c r="N229" t="s">
        <v>63</v>
      </c>
      <c r="O229" t="s">
        <v>1497</v>
      </c>
      <c r="P229" t="s">
        <v>14</v>
      </c>
      <c r="Q229" t="s">
        <v>61</v>
      </c>
    </row>
    <row r="230" spans="1:17">
      <c r="A230" t="s">
        <v>1724</v>
      </c>
      <c r="B230" t="s">
        <v>13</v>
      </c>
      <c r="C230">
        <v>2627</v>
      </c>
      <c r="D230" t="s">
        <v>1473</v>
      </c>
      <c r="E230" t="s">
        <v>1469</v>
      </c>
      <c r="F230">
        <v>4</v>
      </c>
      <c r="G230">
        <v>1</v>
      </c>
      <c r="H230" s="19">
        <v>46365</v>
      </c>
      <c r="I230" s="7" t="s">
        <v>1466</v>
      </c>
      <c r="J230">
        <v>1</v>
      </c>
      <c r="K230" t="s">
        <v>18</v>
      </c>
      <c r="N230" t="s">
        <v>31</v>
      </c>
      <c r="O230" t="s">
        <v>1497</v>
      </c>
      <c r="P230" t="s">
        <v>17</v>
      </c>
      <c r="Q230" t="s">
        <v>30</v>
      </c>
    </row>
    <row r="231" spans="1:17">
      <c r="A231" t="s">
        <v>1725</v>
      </c>
      <c r="B231" t="s">
        <v>13</v>
      </c>
      <c r="C231">
        <v>2627</v>
      </c>
      <c r="D231" t="s">
        <v>1473</v>
      </c>
      <c r="E231" t="s">
        <v>1469</v>
      </c>
      <c r="F231">
        <v>4</v>
      </c>
      <c r="G231">
        <v>2</v>
      </c>
      <c r="H231" s="19">
        <v>46365</v>
      </c>
      <c r="I231" s="7" t="s">
        <v>1466</v>
      </c>
      <c r="J231">
        <v>2</v>
      </c>
      <c r="K231" t="s">
        <v>74</v>
      </c>
      <c r="N231" t="s">
        <v>85</v>
      </c>
      <c r="O231" t="s">
        <v>1497</v>
      </c>
      <c r="P231" t="s">
        <v>72</v>
      </c>
      <c r="Q231" t="s">
        <v>83</v>
      </c>
    </row>
    <row r="232" spans="1:17">
      <c r="A232" t="s">
        <v>1726</v>
      </c>
      <c r="B232" t="s">
        <v>13</v>
      </c>
      <c r="C232">
        <v>2627</v>
      </c>
      <c r="D232" t="s">
        <v>1473</v>
      </c>
      <c r="E232" t="s">
        <v>1469</v>
      </c>
      <c r="F232">
        <v>4</v>
      </c>
      <c r="G232">
        <v>3</v>
      </c>
      <c r="H232" s="19">
        <v>46365</v>
      </c>
      <c r="I232" s="7" t="s">
        <v>1466</v>
      </c>
      <c r="J232">
        <v>3</v>
      </c>
      <c r="K232" t="s">
        <v>53</v>
      </c>
      <c r="N232" t="s">
        <v>29</v>
      </c>
      <c r="O232" t="s">
        <v>1497</v>
      </c>
      <c r="P232" t="s">
        <v>52</v>
      </c>
      <c r="Q232" t="s">
        <v>28</v>
      </c>
    </row>
    <row r="233" spans="1:17">
      <c r="A233" t="s">
        <v>1727</v>
      </c>
      <c r="B233" t="s">
        <v>13</v>
      </c>
      <c r="C233">
        <v>2627</v>
      </c>
      <c r="D233" t="s">
        <v>1473</v>
      </c>
      <c r="E233" t="s">
        <v>1469</v>
      </c>
      <c r="F233">
        <v>4</v>
      </c>
      <c r="G233">
        <v>4</v>
      </c>
      <c r="H233" s="19">
        <v>46365</v>
      </c>
      <c r="I233" s="7" t="s">
        <v>1466</v>
      </c>
      <c r="J233">
        <v>4</v>
      </c>
      <c r="K233" t="s">
        <v>60</v>
      </c>
      <c r="N233" t="s">
        <v>26</v>
      </c>
      <c r="O233" t="s">
        <v>1497</v>
      </c>
      <c r="P233" t="s">
        <v>59</v>
      </c>
      <c r="Q233" t="s">
        <v>24</v>
      </c>
    </row>
    <row r="234" spans="1:17">
      <c r="A234" t="s">
        <v>1728</v>
      </c>
      <c r="B234" t="s">
        <v>13</v>
      </c>
      <c r="C234">
        <v>2627</v>
      </c>
      <c r="D234" t="s">
        <v>1473</v>
      </c>
      <c r="E234" t="s">
        <v>1469</v>
      </c>
      <c r="F234">
        <v>4</v>
      </c>
      <c r="G234">
        <v>5</v>
      </c>
      <c r="H234" s="19">
        <v>46365</v>
      </c>
      <c r="I234" s="7" t="s">
        <v>1466</v>
      </c>
      <c r="J234">
        <v>5</v>
      </c>
      <c r="K234" t="s">
        <v>77</v>
      </c>
      <c r="N234" t="s">
        <v>57</v>
      </c>
      <c r="O234" t="s">
        <v>1497</v>
      </c>
      <c r="P234" t="s">
        <v>76</v>
      </c>
      <c r="Q234" t="s">
        <v>55</v>
      </c>
    </row>
    <row r="235" spans="1:17">
      <c r="A235" t="s">
        <v>1729</v>
      </c>
      <c r="B235" t="s">
        <v>13</v>
      </c>
      <c r="C235">
        <v>2627</v>
      </c>
      <c r="D235" t="s">
        <v>1473</v>
      </c>
      <c r="E235" t="s">
        <v>1472</v>
      </c>
      <c r="F235">
        <v>4</v>
      </c>
      <c r="G235">
        <v>1</v>
      </c>
      <c r="H235" s="19">
        <v>46365</v>
      </c>
      <c r="I235" s="7" t="s">
        <v>1470</v>
      </c>
      <c r="J235">
        <v>1</v>
      </c>
      <c r="K235" t="s">
        <v>66</v>
      </c>
      <c r="N235" t="s">
        <v>91</v>
      </c>
      <c r="O235" t="s">
        <v>1497</v>
      </c>
      <c r="P235" t="s">
        <v>64</v>
      </c>
      <c r="Q235" t="s">
        <v>90</v>
      </c>
    </row>
    <row r="236" spans="1:17">
      <c r="A236" t="s">
        <v>1730</v>
      </c>
      <c r="B236" t="s">
        <v>13</v>
      </c>
      <c r="C236">
        <v>2627</v>
      </c>
      <c r="D236" t="s">
        <v>1473</v>
      </c>
      <c r="E236" t="s">
        <v>1472</v>
      </c>
      <c r="F236">
        <v>4</v>
      </c>
      <c r="G236">
        <v>2</v>
      </c>
      <c r="H236" s="19">
        <v>46365</v>
      </c>
      <c r="I236" s="7" t="s">
        <v>1470</v>
      </c>
      <c r="J236">
        <v>2</v>
      </c>
      <c r="K236" t="s">
        <v>88</v>
      </c>
      <c r="N236" t="s">
        <v>22</v>
      </c>
      <c r="O236" t="s">
        <v>1497</v>
      </c>
      <c r="P236" t="s">
        <v>87</v>
      </c>
      <c r="Q236" t="s">
        <v>21</v>
      </c>
    </row>
    <row r="237" spans="1:17">
      <c r="A237" t="s">
        <v>1731</v>
      </c>
      <c r="B237" t="s">
        <v>13</v>
      </c>
      <c r="C237">
        <v>2627</v>
      </c>
      <c r="D237" t="s">
        <v>1473</v>
      </c>
      <c r="E237" t="s">
        <v>1472</v>
      </c>
      <c r="F237">
        <v>4</v>
      </c>
      <c r="G237">
        <v>3</v>
      </c>
      <c r="H237" s="19">
        <v>46365</v>
      </c>
      <c r="I237" s="7" t="s">
        <v>1470</v>
      </c>
      <c r="J237">
        <v>3</v>
      </c>
      <c r="K237" t="s">
        <v>82</v>
      </c>
      <c r="N237" t="s">
        <v>40</v>
      </c>
      <c r="O237" t="s">
        <v>1497</v>
      </c>
      <c r="P237" t="s">
        <v>80</v>
      </c>
      <c r="Q237" t="s">
        <v>38</v>
      </c>
    </row>
    <row r="238" spans="1:17">
      <c r="A238" t="s">
        <v>1732</v>
      </c>
      <c r="B238" t="s">
        <v>13</v>
      </c>
      <c r="C238">
        <v>2627</v>
      </c>
      <c r="D238" t="s">
        <v>1473</v>
      </c>
      <c r="E238" t="s">
        <v>1472</v>
      </c>
      <c r="F238">
        <v>4</v>
      </c>
      <c r="G238">
        <v>4</v>
      </c>
      <c r="H238" s="19">
        <v>46365</v>
      </c>
      <c r="I238" s="7" t="s">
        <v>1470</v>
      </c>
      <c r="J238">
        <v>4</v>
      </c>
      <c r="K238" t="s">
        <v>63</v>
      </c>
      <c r="N238" t="s">
        <v>44</v>
      </c>
      <c r="O238" t="s">
        <v>1497</v>
      </c>
      <c r="P238" t="s">
        <v>61</v>
      </c>
      <c r="Q238" t="s">
        <v>43</v>
      </c>
    </row>
    <row r="239" spans="1:17">
      <c r="A239" t="s">
        <v>1733</v>
      </c>
      <c r="B239" t="s">
        <v>13</v>
      </c>
      <c r="C239">
        <v>2627</v>
      </c>
      <c r="D239" t="s">
        <v>1473</v>
      </c>
      <c r="E239" t="s">
        <v>1472</v>
      </c>
      <c r="F239">
        <v>4</v>
      </c>
      <c r="G239">
        <v>5</v>
      </c>
      <c r="H239" s="19">
        <v>46365</v>
      </c>
      <c r="I239" s="7" t="s">
        <v>1470</v>
      </c>
      <c r="J239">
        <v>5</v>
      </c>
      <c r="K239" t="s">
        <v>15</v>
      </c>
      <c r="N239" t="s">
        <v>70</v>
      </c>
      <c r="O239" t="s">
        <v>1497</v>
      </c>
      <c r="P239" t="s">
        <v>14</v>
      </c>
      <c r="Q239" t="s">
        <v>68</v>
      </c>
    </row>
    <row r="240" spans="1:17">
      <c r="A240" t="s">
        <v>1734</v>
      </c>
      <c r="B240" t="s">
        <v>13</v>
      </c>
      <c r="C240">
        <v>2627</v>
      </c>
      <c r="D240" t="s">
        <v>1473</v>
      </c>
      <c r="E240" t="s">
        <v>1469</v>
      </c>
      <c r="F240">
        <v>5</v>
      </c>
      <c r="G240">
        <v>1</v>
      </c>
      <c r="H240" s="19">
        <v>46372</v>
      </c>
      <c r="I240" s="7" t="s">
        <v>1466</v>
      </c>
      <c r="J240">
        <v>1</v>
      </c>
      <c r="K240" t="s">
        <v>31</v>
      </c>
      <c r="N240" t="s">
        <v>74</v>
      </c>
      <c r="O240" t="s">
        <v>1497</v>
      </c>
      <c r="P240" t="s">
        <v>30</v>
      </c>
      <c r="Q240" t="s">
        <v>72</v>
      </c>
    </row>
    <row r="241" spans="1:17">
      <c r="A241" t="s">
        <v>1735</v>
      </c>
      <c r="B241" t="s">
        <v>13</v>
      </c>
      <c r="C241">
        <v>2627</v>
      </c>
      <c r="D241" t="s">
        <v>1473</v>
      </c>
      <c r="E241" t="s">
        <v>1469</v>
      </c>
      <c r="F241">
        <v>5</v>
      </c>
      <c r="G241">
        <v>2</v>
      </c>
      <c r="H241" s="19">
        <v>46372</v>
      </c>
      <c r="I241" s="7" t="s">
        <v>1466</v>
      </c>
      <c r="J241">
        <v>2</v>
      </c>
      <c r="K241" t="s">
        <v>18</v>
      </c>
      <c r="N241" t="s">
        <v>53</v>
      </c>
      <c r="O241" t="s">
        <v>1497</v>
      </c>
      <c r="P241" t="s">
        <v>17</v>
      </c>
      <c r="Q241" t="s">
        <v>52</v>
      </c>
    </row>
    <row r="242" spans="1:17">
      <c r="A242" t="s">
        <v>1736</v>
      </c>
      <c r="B242" t="s">
        <v>13</v>
      </c>
      <c r="C242">
        <v>2627</v>
      </c>
      <c r="D242" t="s">
        <v>1473</v>
      </c>
      <c r="E242" t="s">
        <v>1469</v>
      </c>
      <c r="F242">
        <v>5</v>
      </c>
      <c r="G242">
        <v>3</v>
      </c>
      <c r="H242" s="19">
        <v>46372</v>
      </c>
      <c r="I242" s="7" t="s">
        <v>1466</v>
      </c>
      <c r="J242">
        <v>3</v>
      </c>
      <c r="K242" t="s">
        <v>85</v>
      </c>
      <c r="N242" t="s">
        <v>60</v>
      </c>
      <c r="O242" t="s">
        <v>1497</v>
      </c>
      <c r="P242" t="s">
        <v>83</v>
      </c>
      <c r="Q242" t="s">
        <v>59</v>
      </c>
    </row>
    <row r="243" spans="1:17">
      <c r="A243" t="s">
        <v>1737</v>
      </c>
      <c r="B243" t="s">
        <v>13</v>
      </c>
      <c r="C243">
        <v>2627</v>
      </c>
      <c r="D243" t="s">
        <v>1473</v>
      </c>
      <c r="E243" t="s">
        <v>1469</v>
      </c>
      <c r="F243">
        <v>5</v>
      </c>
      <c r="G243">
        <v>4</v>
      </c>
      <c r="H243" s="19">
        <v>46372</v>
      </c>
      <c r="I243" s="7" t="s">
        <v>1466</v>
      </c>
      <c r="J243">
        <v>4</v>
      </c>
      <c r="K243" t="s">
        <v>29</v>
      </c>
      <c r="N243" t="s">
        <v>77</v>
      </c>
      <c r="O243" t="s">
        <v>1497</v>
      </c>
      <c r="P243" t="s">
        <v>28</v>
      </c>
      <c r="Q243" t="s">
        <v>76</v>
      </c>
    </row>
    <row r="244" spans="1:17">
      <c r="A244" t="s">
        <v>1738</v>
      </c>
      <c r="B244" t="s">
        <v>13</v>
      </c>
      <c r="C244">
        <v>2627</v>
      </c>
      <c r="D244" t="s">
        <v>1473</v>
      </c>
      <c r="E244" t="s">
        <v>1469</v>
      </c>
      <c r="F244">
        <v>5</v>
      </c>
      <c r="G244">
        <v>5</v>
      </c>
      <c r="H244" s="19">
        <v>46372</v>
      </c>
      <c r="I244" s="7" t="s">
        <v>1466</v>
      </c>
      <c r="J244">
        <v>5</v>
      </c>
      <c r="K244" t="s">
        <v>26</v>
      </c>
      <c r="N244" t="s">
        <v>57</v>
      </c>
      <c r="O244" t="s">
        <v>1497</v>
      </c>
      <c r="P244" t="s">
        <v>24</v>
      </c>
      <c r="Q244" t="s">
        <v>55</v>
      </c>
    </row>
    <row r="245" spans="1:17">
      <c r="A245" t="s">
        <v>1739</v>
      </c>
      <c r="B245" t="s">
        <v>13</v>
      </c>
      <c r="C245">
        <v>2627</v>
      </c>
      <c r="D245" t="s">
        <v>1473</v>
      </c>
      <c r="E245" t="s">
        <v>1472</v>
      </c>
      <c r="F245">
        <v>5</v>
      </c>
      <c r="G245">
        <v>1</v>
      </c>
      <c r="H245" s="19">
        <v>46372</v>
      </c>
      <c r="I245" s="7" t="s">
        <v>1470</v>
      </c>
      <c r="J245">
        <v>1</v>
      </c>
      <c r="K245" t="s">
        <v>91</v>
      </c>
      <c r="N245" t="s">
        <v>88</v>
      </c>
      <c r="O245" t="s">
        <v>1497</v>
      </c>
      <c r="P245" t="s">
        <v>90</v>
      </c>
      <c r="Q245" t="s">
        <v>87</v>
      </c>
    </row>
    <row r="246" spans="1:17">
      <c r="A246" t="s">
        <v>1740</v>
      </c>
      <c r="B246" t="s">
        <v>13</v>
      </c>
      <c r="C246">
        <v>2627</v>
      </c>
      <c r="D246" t="s">
        <v>1473</v>
      </c>
      <c r="E246" t="s">
        <v>1472</v>
      </c>
      <c r="F246">
        <v>5</v>
      </c>
      <c r="G246">
        <v>2</v>
      </c>
      <c r="H246" s="19">
        <v>46372</v>
      </c>
      <c r="I246" s="7" t="s">
        <v>1470</v>
      </c>
      <c r="J246">
        <v>2</v>
      </c>
      <c r="K246" t="s">
        <v>66</v>
      </c>
      <c r="N246" t="s">
        <v>82</v>
      </c>
      <c r="O246" t="s">
        <v>1497</v>
      </c>
      <c r="P246" t="s">
        <v>64</v>
      </c>
      <c r="Q246" t="s">
        <v>80</v>
      </c>
    </row>
    <row r="247" spans="1:17">
      <c r="A247" t="s">
        <v>1741</v>
      </c>
      <c r="B247" t="s">
        <v>13</v>
      </c>
      <c r="C247">
        <v>2627</v>
      </c>
      <c r="D247" t="s">
        <v>1473</v>
      </c>
      <c r="E247" t="s">
        <v>1472</v>
      </c>
      <c r="F247">
        <v>5</v>
      </c>
      <c r="G247">
        <v>3</v>
      </c>
      <c r="H247" s="19">
        <v>46372</v>
      </c>
      <c r="I247" s="7" t="s">
        <v>1470</v>
      </c>
      <c r="J247">
        <v>3</v>
      </c>
      <c r="K247" t="s">
        <v>22</v>
      </c>
      <c r="N247" t="s">
        <v>98</v>
      </c>
      <c r="O247" t="s">
        <v>1497</v>
      </c>
      <c r="P247" t="s">
        <v>21</v>
      </c>
      <c r="Q247" t="s">
        <v>97</v>
      </c>
    </row>
    <row r="248" spans="1:17">
      <c r="A248" t="s">
        <v>1742</v>
      </c>
      <c r="B248" t="s">
        <v>13</v>
      </c>
      <c r="C248">
        <v>2627</v>
      </c>
      <c r="D248" t="s">
        <v>1473</v>
      </c>
      <c r="E248" t="s">
        <v>1472</v>
      </c>
      <c r="F248">
        <v>5</v>
      </c>
      <c r="G248">
        <v>4</v>
      </c>
      <c r="H248" s="19">
        <v>46372</v>
      </c>
      <c r="I248" s="7" t="s">
        <v>1470</v>
      </c>
      <c r="J248">
        <v>4</v>
      </c>
      <c r="K248" t="s">
        <v>40</v>
      </c>
      <c r="N248" t="s">
        <v>63</v>
      </c>
      <c r="O248" t="s">
        <v>1497</v>
      </c>
      <c r="P248" t="s">
        <v>38</v>
      </c>
      <c r="Q248" t="s">
        <v>61</v>
      </c>
    </row>
    <row r="249" spans="1:17">
      <c r="A249" t="s">
        <v>1743</v>
      </c>
      <c r="B249" t="s">
        <v>13</v>
      </c>
      <c r="C249">
        <v>2627</v>
      </c>
      <c r="D249" t="s">
        <v>1473</v>
      </c>
      <c r="E249" t="s">
        <v>1472</v>
      </c>
      <c r="F249">
        <v>5</v>
      </c>
      <c r="G249">
        <v>5</v>
      </c>
      <c r="H249" s="19">
        <v>46372</v>
      </c>
      <c r="I249" s="7" t="s">
        <v>1470</v>
      </c>
      <c r="J249">
        <v>5</v>
      </c>
      <c r="K249" t="s">
        <v>44</v>
      </c>
      <c r="N249" t="s">
        <v>70</v>
      </c>
      <c r="O249" t="s">
        <v>1497</v>
      </c>
      <c r="P249" t="s">
        <v>43</v>
      </c>
      <c r="Q249" t="s">
        <v>68</v>
      </c>
    </row>
    <row r="250" spans="1:17">
      <c r="A250" t="s">
        <v>1744</v>
      </c>
      <c r="B250" t="s">
        <v>13</v>
      </c>
      <c r="C250">
        <v>2627</v>
      </c>
      <c r="D250" t="s">
        <v>1473</v>
      </c>
      <c r="E250" t="s">
        <v>1469</v>
      </c>
      <c r="F250">
        <v>6</v>
      </c>
      <c r="G250">
        <v>1</v>
      </c>
      <c r="H250" s="19">
        <v>46400</v>
      </c>
      <c r="I250" s="7" t="s">
        <v>1466</v>
      </c>
      <c r="J250">
        <v>1</v>
      </c>
      <c r="K250" t="s">
        <v>53</v>
      </c>
      <c r="N250" t="s">
        <v>31</v>
      </c>
      <c r="O250" t="s">
        <v>1497</v>
      </c>
      <c r="P250" t="s">
        <v>52</v>
      </c>
      <c r="Q250" t="s">
        <v>30</v>
      </c>
    </row>
    <row r="251" spans="1:17">
      <c r="A251" t="s">
        <v>1745</v>
      </c>
      <c r="B251" t="s">
        <v>13</v>
      </c>
      <c r="C251">
        <v>2627</v>
      </c>
      <c r="D251" t="s">
        <v>1473</v>
      </c>
      <c r="E251" t="s">
        <v>1469</v>
      </c>
      <c r="F251">
        <v>6</v>
      </c>
      <c r="G251">
        <v>2</v>
      </c>
      <c r="H251" s="19">
        <v>46400</v>
      </c>
      <c r="I251" s="7" t="s">
        <v>1466</v>
      </c>
      <c r="J251">
        <v>2</v>
      </c>
      <c r="K251" t="s">
        <v>60</v>
      </c>
      <c r="N251" t="s">
        <v>74</v>
      </c>
      <c r="O251" t="s">
        <v>1497</v>
      </c>
      <c r="P251" t="s">
        <v>59</v>
      </c>
      <c r="Q251" t="s">
        <v>72</v>
      </c>
    </row>
    <row r="252" spans="1:17">
      <c r="A252" t="s">
        <v>1746</v>
      </c>
      <c r="B252" t="s">
        <v>13</v>
      </c>
      <c r="C252">
        <v>2627</v>
      </c>
      <c r="D252" t="s">
        <v>1473</v>
      </c>
      <c r="E252" t="s">
        <v>1469</v>
      </c>
      <c r="F252">
        <v>6</v>
      </c>
      <c r="G252">
        <v>3</v>
      </c>
      <c r="H252" s="19">
        <v>46400</v>
      </c>
      <c r="I252" s="7" t="s">
        <v>1466</v>
      </c>
      <c r="J252">
        <v>3</v>
      </c>
      <c r="K252" t="s">
        <v>77</v>
      </c>
      <c r="N252" t="s">
        <v>18</v>
      </c>
      <c r="O252" t="s">
        <v>1497</v>
      </c>
      <c r="P252" t="s">
        <v>76</v>
      </c>
      <c r="Q252" t="s">
        <v>17</v>
      </c>
    </row>
    <row r="253" spans="1:17">
      <c r="A253" t="s">
        <v>1747</v>
      </c>
      <c r="B253" t="s">
        <v>13</v>
      </c>
      <c r="C253">
        <v>2627</v>
      </c>
      <c r="D253" t="s">
        <v>1473</v>
      </c>
      <c r="E253" t="s">
        <v>1469</v>
      </c>
      <c r="F253">
        <v>6</v>
      </c>
      <c r="G253">
        <v>4</v>
      </c>
      <c r="H253" s="19">
        <v>46400</v>
      </c>
      <c r="I253" s="7" t="s">
        <v>1466</v>
      </c>
      <c r="J253">
        <v>4</v>
      </c>
      <c r="K253" t="s">
        <v>57</v>
      </c>
      <c r="N253" t="s">
        <v>85</v>
      </c>
      <c r="O253" t="s">
        <v>1497</v>
      </c>
      <c r="P253" t="s">
        <v>55</v>
      </c>
      <c r="Q253" t="s">
        <v>83</v>
      </c>
    </row>
    <row r="254" spans="1:17">
      <c r="A254" t="s">
        <v>1748</v>
      </c>
      <c r="B254" t="s">
        <v>13</v>
      </c>
      <c r="C254">
        <v>2627</v>
      </c>
      <c r="D254" t="s">
        <v>1473</v>
      </c>
      <c r="E254" t="s">
        <v>1469</v>
      </c>
      <c r="F254">
        <v>6</v>
      </c>
      <c r="G254">
        <v>5</v>
      </c>
      <c r="H254" s="19">
        <v>46400</v>
      </c>
      <c r="I254" s="7" t="s">
        <v>1466</v>
      </c>
      <c r="J254">
        <v>5</v>
      </c>
      <c r="K254" t="s">
        <v>26</v>
      </c>
      <c r="N254" t="s">
        <v>29</v>
      </c>
      <c r="O254" t="s">
        <v>1497</v>
      </c>
      <c r="P254" t="s">
        <v>24</v>
      </c>
      <c r="Q254" t="s">
        <v>28</v>
      </c>
    </row>
    <row r="255" spans="1:17">
      <c r="A255" t="s">
        <v>1749</v>
      </c>
      <c r="B255" t="s">
        <v>13</v>
      </c>
      <c r="C255">
        <v>2627</v>
      </c>
      <c r="D255" t="s">
        <v>1473</v>
      </c>
      <c r="E255" t="s">
        <v>1472</v>
      </c>
      <c r="F255">
        <v>6</v>
      </c>
      <c r="G255">
        <v>1</v>
      </c>
      <c r="H255" s="19">
        <v>46400</v>
      </c>
      <c r="I255" s="7" t="s">
        <v>1470</v>
      </c>
      <c r="J255">
        <v>1</v>
      </c>
      <c r="K255" t="s">
        <v>82</v>
      </c>
      <c r="N255" t="s">
        <v>91</v>
      </c>
      <c r="O255" t="s">
        <v>1497</v>
      </c>
      <c r="P255" t="s">
        <v>80</v>
      </c>
      <c r="Q255" t="s">
        <v>90</v>
      </c>
    </row>
    <row r="256" spans="1:17">
      <c r="A256" t="s">
        <v>1750</v>
      </c>
      <c r="B256" t="s">
        <v>13</v>
      </c>
      <c r="C256">
        <v>2627</v>
      </c>
      <c r="D256" t="s">
        <v>1473</v>
      </c>
      <c r="E256" t="s">
        <v>1472</v>
      </c>
      <c r="F256">
        <v>6</v>
      </c>
      <c r="G256">
        <v>2</v>
      </c>
      <c r="H256" s="19">
        <v>46400</v>
      </c>
      <c r="I256" s="7" t="s">
        <v>1470</v>
      </c>
      <c r="J256">
        <v>2</v>
      </c>
      <c r="K256" t="s">
        <v>98</v>
      </c>
      <c r="N256" t="s">
        <v>88</v>
      </c>
      <c r="O256" t="s">
        <v>1497</v>
      </c>
      <c r="P256" t="s">
        <v>97</v>
      </c>
      <c r="Q256" t="s">
        <v>87</v>
      </c>
    </row>
    <row r="257" spans="1:17">
      <c r="A257" t="s">
        <v>1751</v>
      </c>
      <c r="B257" t="s">
        <v>13</v>
      </c>
      <c r="C257">
        <v>2627</v>
      </c>
      <c r="D257" t="s">
        <v>1473</v>
      </c>
      <c r="E257" t="s">
        <v>1472</v>
      </c>
      <c r="F257">
        <v>6</v>
      </c>
      <c r="G257">
        <v>3</v>
      </c>
      <c r="H257" s="19">
        <v>46400</v>
      </c>
      <c r="I257" s="7" t="s">
        <v>1470</v>
      </c>
      <c r="J257">
        <v>3</v>
      </c>
      <c r="K257" t="s">
        <v>63</v>
      </c>
      <c r="N257" t="s">
        <v>66</v>
      </c>
      <c r="O257" t="s">
        <v>1497</v>
      </c>
      <c r="P257" t="s">
        <v>61</v>
      </c>
      <c r="Q257" t="s">
        <v>64</v>
      </c>
    </row>
    <row r="258" spans="1:17">
      <c r="A258" t="s">
        <v>1752</v>
      </c>
      <c r="B258" t="s">
        <v>13</v>
      </c>
      <c r="C258">
        <v>2627</v>
      </c>
      <c r="D258" t="s">
        <v>1473</v>
      </c>
      <c r="E258" t="s">
        <v>1472</v>
      </c>
      <c r="F258">
        <v>6</v>
      </c>
      <c r="G258">
        <v>4</v>
      </c>
      <c r="H258" s="19">
        <v>46400</v>
      </c>
      <c r="I258" s="7" t="s">
        <v>1470</v>
      </c>
      <c r="J258">
        <v>4</v>
      </c>
      <c r="K258" t="s">
        <v>15</v>
      </c>
      <c r="N258" t="s">
        <v>22</v>
      </c>
      <c r="O258" t="s">
        <v>1497</v>
      </c>
      <c r="P258" t="s">
        <v>14</v>
      </c>
      <c r="Q258" t="s">
        <v>21</v>
      </c>
    </row>
    <row r="259" spans="1:17">
      <c r="A259" t="s">
        <v>1753</v>
      </c>
      <c r="B259" t="s">
        <v>13</v>
      </c>
      <c r="C259">
        <v>2627</v>
      </c>
      <c r="D259" t="s">
        <v>1473</v>
      </c>
      <c r="E259" t="s">
        <v>1472</v>
      </c>
      <c r="F259">
        <v>6</v>
      </c>
      <c r="G259">
        <v>5</v>
      </c>
      <c r="H259" s="19">
        <v>46400</v>
      </c>
      <c r="I259" s="7" t="s">
        <v>1470</v>
      </c>
      <c r="J259">
        <v>5</v>
      </c>
      <c r="K259" t="s">
        <v>70</v>
      </c>
      <c r="N259" t="s">
        <v>40</v>
      </c>
      <c r="O259" t="s">
        <v>1497</v>
      </c>
      <c r="P259" t="s">
        <v>68</v>
      </c>
      <c r="Q259" t="s">
        <v>38</v>
      </c>
    </row>
    <row r="260" spans="1:17">
      <c r="A260" t="s">
        <v>1754</v>
      </c>
      <c r="B260" t="s">
        <v>13</v>
      </c>
      <c r="C260">
        <v>2627</v>
      </c>
      <c r="D260" t="s">
        <v>1473</v>
      </c>
      <c r="E260" t="s">
        <v>1469</v>
      </c>
      <c r="F260">
        <v>7</v>
      </c>
      <c r="G260">
        <v>1</v>
      </c>
      <c r="H260" s="19">
        <v>46407</v>
      </c>
      <c r="I260" s="7" t="s">
        <v>1466</v>
      </c>
      <c r="J260">
        <v>1</v>
      </c>
      <c r="K260" t="s">
        <v>31</v>
      </c>
      <c r="N260" t="s">
        <v>60</v>
      </c>
      <c r="O260" t="s">
        <v>1497</v>
      </c>
      <c r="P260" t="s">
        <v>30</v>
      </c>
      <c r="Q260" t="s">
        <v>59</v>
      </c>
    </row>
    <row r="261" spans="1:17">
      <c r="A261" t="s">
        <v>1755</v>
      </c>
      <c r="B261" t="s">
        <v>13</v>
      </c>
      <c r="C261">
        <v>2627</v>
      </c>
      <c r="D261" t="s">
        <v>1473</v>
      </c>
      <c r="E261" t="s">
        <v>1469</v>
      </c>
      <c r="F261">
        <v>7</v>
      </c>
      <c r="G261">
        <v>2</v>
      </c>
      <c r="H261" s="19">
        <v>46407</v>
      </c>
      <c r="I261" s="7" t="s">
        <v>1466</v>
      </c>
      <c r="J261">
        <v>2</v>
      </c>
      <c r="K261" t="s">
        <v>53</v>
      </c>
      <c r="N261" t="s">
        <v>77</v>
      </c>
      <c r="O261" t="s">
        <v>1497</v>
      </c>
      <c r="P261" t="s">
        <v>52</v>
      </c>
      <c r="Q261" t="s">
        <v>76</v>
      </c>
    </row>
    <row r="262" spans="1:17">
      <c r="A262" t="s">
        <v>1756</v>
      </c>
      <c r="B262" t="s">
        <v>13</v>
      </c>
      <c r="C262">
        <v>2627</v>
      </c>
      <c r="D262" t="s">
        <v>1473</v>
      </c>
      <c r="E262" t="s">
        <v>1469</v>
      </c>
      <c r="F262">
        <v>7</v>
      </c>
      <c r="G262">
        <v>3</v>
      </c>
      <c r="H262" s="19">
        <v>46407</v>
      </c>
      <c r="I262" s="7" t="s">
        <v>1466</v>
      </c>
      <c r="J262">
        <v>3</v>
      </c>
      <c r="K262" t="s">
        <v>74</v>
      </c>
      <c r="N262" t="s">
        <v>57</v>
      </c>
      <c r="O262" t="s">
        <v>1497</v>
      </c>
      <c r="P262" t="s">
        <v>72</v>
      </c>
      <c r="Q262" t="s">
        <v>55</v>
      </c>
    </row>
    <row r="263" spans="1:17">
      <c r="A263" t="s">
        <v>1757</v>
      </c>
      <c r="B263" t="s">
        <v>13</v>
      </c>
      <c r="C263">
        <v>2627</v>
      </c>
      <c r="D263" t="s">
        <v>1473</v>
      </c>
      <c r="E263" t="s">
        <v>1469</v>
      </c>
      <c r="F263">
        <v>7</v>
      </c>
      <c r="G263">
        <v>4</v>
      </c>
      <c r="H263" s="19">
        <v>46407</v>
      </c>
      <c r="I263" s="7" t="s">
        <v>1466</v>
      </c>
      <c r="J263">
        <v>4</v>
      </c>
      <c r="K263" t="s">
        <v>18</v>
      </c>
      <c r="N263" t="s">
        <v>26</v>
      </c>
      <c r="O263" t="s">
        <v>1497</v>
      </c>
      <c r="P263" t="s">
        <v>17</v>
      </c>
      <c r="Q263" t="s">
        <v>24</v>
      </c>
    </row>
    <row r="264" spans="1:17">
      <c r="A264" t="s">
        <v>1758</v>
      </c>
      <c r="B264" t="s">
        <v>13</v>
      </c>
      <c r="C264">
        <v>2627</v>
      </c>
      <c r="D264" t="s">
        <v>1473</v>
      </c>
      <c r="E264" t="s">
        <v>1469</v>
      </c>
      <c r="F264">
        <v>7</v>
      </c>
      <c r="G264">
        <v>5</v>
      </c>
      <c r="H264" s="19">
        <v>46407</v>
      </c>
      <c r="I264" s="7" t="s">
        <v>1466</v>
      </c>
      <c r="J264">
        <v>5</v>
      </c>
      <c r="K264" t="s">
        <v>85</v>
      </c>
      <c r="N264" t="s">
        <v>29</v>
      </c>
      <c r="O264" t="s">
        <v>1497</v>
      </c>
      <c r="P264" t="s">
        <v>83</v>
      </c>
      <c r="Q264" t="s">
        <v>28</v>
      </c>
    </row>
    <row r="265" spans="1:17">
      <c r="A265" t="s">
        <v>1759</v>
      </c>
      <c r="B265" t="s">
        <v>13</v>
      </c>
      <c r="C265">
        <v>2627</v>
      </c>
      <c r="D265" t="s">
        <v>1473</v>
      </c>
      <c r="E265" t="s">
        <v>1472</v>
      </c>
      <c r="F265">
        <v>7</v>
      </c>
      <c r="G265">
        <v>1</v>
      </c>
      <c r="H265" s="19">
        <v>46407</v>
      </c>
      <c r="I265" s="7" t="s">
        <v>1470</v>
      </c>
      <c r="J265">
        <v>1</v>
      </c>
      <c r="K265" t="s">
        <v>91</v>
      </c>
      <c r="N265" t="s">
        <v>98</v>
      </c>
      <c r="O265" t="s">
        <v>1497</v>
      </c>
      <c r="P265" t="s">
        <v>90</v>
      </c>
      <c r="Q265" t="s">
        <v>97</v>
      </c>
    </row>
    <row r="266" spans="1:17">
      <c r="A266" t="s">
        <v>1760</v>
      </c>
      <c r="B266" t="s">
        <v>13</v>
      </c>
      <c r="C266">
        <v>2627</v>
      </c>
      <c r="D266" t="s">
        <v>1473</v>
      </c>
      <c r="E266" t="s">
        <v>1472</v>
      </c>
      <c r="F266">
        <v>7</v>
      </c>
      <c r="G266">
        <v>2</v>
      </c>
      <c r="H266" s="19">
        <v>46407</v>
      </c>
      <c r="I266" s="7" t="s">
        <v>1470</v>
      </c>
      <c r="J266">
        <v>2</v>
      </c>
      <c r="K266" t="s">
        <v>82</v>
      </c>
      <c r="N266" t="s">
        <v>63</v>
      </c>
      <c r="O266" t="s">
        <v>1497</v>
      </c>
      <c r="P266" t="s">
        <v>80</v>
      </c>
      <c r="Q266" t="s">
        <v>61</v>
      </c>
    </row>
    <row r="267" spans="1:17">
      <c r="A267" t="s">
        <v>1761</v>
      </c>
      <c r="B267" t="s">
        <v>13</v>
      </c>
      <c r="C267">
        <v>2627</v>
      </c>
      <c r="D267" t="s">
        <v>1473</v>
      </c>
      <c r="E267" t="s">
        <v>1472</v>
      </c>
      <c r="F267">
        <v>7</v>
      </c>
      <c r="G267">
        <v>3</v>
      </c>
      <c r="H267" s="19">
        <v>46407</v>
      </c>
      <c r="I267" s="7" t="s">
        <v>1470</v>
      </c>
      <c r="J267">
        <v>3</v>
      </c>
      <c r="K267" t="s">
        <v>88</v>
      </c>
      <c r="N267" t="s">
        <v>15</v>
      </c>
      <c r="O267" t="s">
        <v>1497</v>
      </c>
      <c r="P267" t="s">
        <v>87</v>
      </c>
      <c r="Q267" t="s">
        <v>14</v>
      </c>
    </row>
    <row r="268" spans="1:17">
      <c r="A268" t="s">
        <v>1762</v>
      </c>
      <c r="B268" t="s">
        <v>13</v>
      </c>
      <c r="C268">
        <v>2627</v>
      </c>
      <c r="D268" t="s">
        <v>1473</v>
      </c>
      <c r="E268" t="s">
        <v>1472</v>
      </c>
      <c r="F268">
        <v>7</v>
      </c>
      <c r="G268">
        <v>4</v>
      </c>
      <c r="H268" s="19">
        <v>46407</v>
      </c>
      <c r="I268" s="7" t="s">
        <v>1470</v>
      </c>
      <c r="J268">
        <v>4</v>
      </c>
      <c r="K268" t="s">
        <v>66</v>
      </c>
      <c r="N268" t="s">
        <v>70</v>
      </c>
      <c r="O268" t="s">
        <v>1497</v>
      </c>
      <c r="P268" t="s">
        <v>64</v>
      </c>
      <c r="Q268" t="s">
        <v>68</v>
      </c>
    </row>
    <row r="269" spans="1:17">
      <c r="A269" t="s">
        <v>1763</v>
      </c>
      <c r="B269" t="s">
        <v>13</v>
      </c>
      <c r="C269">
        <v>2627</v>
      </c>
      <c r="D269" t="s">
        <v>1473</v>
      </c>
      <c r="E269" t="s">
        <v>1472</v>
      </c>
      <c r="F269">
        <v>7</v>
      </c>
      <c r="G269">
        <v>5</v>
      </c>
      <c r="H269" s="19">
        <v>46407</v>
      </c>
      <c r="I269" s="7" t="s">
        <v>1470</v>
      </c>
      <c r="J269">
        <v>5</v>
      </c>
      <c r="K269" t="s">
        <v>22</v>
      </c>
      <c r="N269" t="s">
        <v>44</v>
      </c>
      <c r="O269" t="s">
        <v>1497</v>
      </c>
      <c r="P269" t="s">
        <v>21</v>
      </c>
      <c r="Q269" t="s">
        <v>43</v>
      </c>
    </row>
    <row r="270" spans="1:17">
      <c r="A270" t="s">
        <v>1764</v>
      </c>
      <c r="B270" t="s">
        <v>13</v>
      </c>
      <c r="C270">
        <v>2627</v>
      </c>
      <c r="D270" t="s">
        <v>1473</v>
      </c>
      <c r="E270" t="s">
        <v>1469</v>
      </c>
      <c r="F270">
        <v>8</v>
      </c>
      <c r="G270">
        <v>1</v>
      </c>
      <c r="H270" s="19">
        <v>46414</v>
      </c>
      <c r="I270" s="7" t="s">
        <v>1466</v>
      </c>
      <c r="J270">
        <v>1</v>
      </c>
      <c r="K270" t="s">
        <v>77</v>
      </c>
      <c r="N270" t="s">
        <v>31</v>
      </c>
      <c r="O270" t="s">
        <v>1497</v>
      </c>
      <c r="P270" t="s">
        <v>76</v>
      </c>
      <c r="Q270" t="s">
        <v>30</v>
      </c>
    </row>
    <row r="271" spans="1:17">
      <c r="A271" t="s">
        <v>1765</v>
      </c>
      <c r="B271" t="s">
        <v>13</v>
      </c>
      <c r="C271">
        <v>2627</v>
      </c>
      <c r="D271" t="s">
        <v>1473</v>
      </c>
      <c r="E271" t="s">
        <v>1469</v>
      </c>
      <c r="F271">
        <v>8</v>
      </c>
      <c r="G271">
        <v>2</v>
      </c>
      <c r="H271" s="19">
        <v>46414</v>
      </c>
      <c r="I271" s="7" t="s">
        <v>1466</v>
      </c>
      <c r="J271">
        <v>2</v>
      </c>
      <c r="K271" t="s">
        <v>57</v>
      </c>
      <c r="N271" t="s">
        <v>60</v>
      </c>
      <c r="O271" t="s">
        <v>1497</v>
      </c>
      <c r="P271" t="s">
        <v>55</v>
      </c>
      <c r="Q271" t="s">
        <v>59</v>
      </c>
    </row>
    <row r="272" spans="1:17">
      <c r="A272" t="s">
        <v>1766</v>
      </c>
      <c r="B272" t="s">
        <v>13</v>
      </c>
      <c r="C272">
        <v>2627</v>
      </c>
      <c r="D272" t="s">
        <v>1473</v>
      </c>
      <c r="E272" t="s">
        <v>1469</v>
      </c>
      <c r="F272">
        <v>8</v>
      </c>
      <c r="G272">
        <v>3</v>
      </c>
      <c r="H272" s="19">
        <v>46414</v>
      </c>
      <c r="I272" s="7" t="s">
        <v>1466</v>
      </c>
      <c r="J272">
        <v>3</v>
      </c>
      <c r="K272" t="s">
        <v>26</v>
      </c>
      <c r="N272" t="s">
        <v>53</v>
      </c>
      <c r="O272" t="s">
        <v>1497</v>
      </c>
      <c r="P272" t="s">
        <v>24</v>
      </c>
      <c r="Q272" t="s">
        <v>52</v>
      </c>
    </row>
    <row r="273" spans="1:17">
      <c r="A273" t="s">
        <v>1767</v>
      </c>
      <c r="B273" t="s">
        <v>13</v>
      </c>
      <c r="C273">
        <v>2627</v>
      </c>
      <c r="D273" t="s">
        <v>1473</v>
      </c>
      <c r="E273" t="s">
        <v>1469</v>
      </c>
      <c r="F273">
        <v>8</v>
      </c>
      <c r="G273">
        <v>4</v>
      </c>
      <c r="H273" s="19">
        <v>46414</v>
      </c>
      <c r="I273" s="7" t="s">
        <v>1466</v>
      </c>
      <c r="J273">
        <v>4</v>
      </c>
      <c r="K273" t="s">
        <v>29</v>
      </c>
      <c r="N273" t="s">
        <v>74</v>
      </c>
      <c r="O273" t="s">
        <v>1497</v>
      </c>
      <c r="P273" t="s">
        <v>28</v>
      </c>
      <c r="Q273" t="s">
        <v>72</v>
      </c>
    </row>
    <row r="274" spans="1:17">
      <c r="A274" t="s">
        <v>1768</v>
      </c>
      <c r="B274" t="s">
        <v>13</v>
      </c>
      <c r="C274">
        <v>2627</v>
      </c>
      <c r="D274" t="s">
        <v>1473</v>
      </c>
      <c r="E274" t="s">
        <v>1469</v>
      </c>
      <c r="F274">
        <v>8</v>
      </c>
      <c r="G274">
        <v>5</v>
      </c>
      <c r="H274" s="19">
        <v>46414</v>
      </c>
      <c r="I274" s="7" t="s">
        <v>1466</v>
      </c>
      <c r="J274">
        <v>5</v>
      </c>
      <c r="K274" t="s">
        <v>85</v>
      </c>
      <c r="N274" t="s">
        <v>18</v>
      </c>
      <c r="O274" t="s">
        <v>1497</v>
      </c>
      <c r="P274" t="s">
        <v>83</v>
      </c>
      <c r="Q274" t="s">
        <v>17</v>
      </c>
    </row>
    <row r="275" spans="1:17">
      <c r="A275" t="s">
        <v>1769</v>
      </c>
      <c r="B275" t="s">
        <v>13</v>
      </c>
      <c r="C275">
        <v>2627</v>
      </c>
      <c r="D275" t="s">
        <v>1473</v>
      </c>
      <c r="E275" t="s">
        <v>1472</v>
      </c>
      <c r="F275">
        <v>8</v>
      </c>
      <c r="G275">
        <v>1</v>
      </c>
      <c r="H275" s="19">
        <v>46414</v>
      </c>
      <c r="I275" s="7" t="s">
        <v>1470</v>
      </c>
      <c r="J275">
        <v>1</v>
      </c>
      <c r="K275" t="s">
        <v>63</v>
      </c>
      <c r="N275" t="s">
        <v>91</v>
      </c>
      <c r="O275" t="s">
        <v>1497</v>
      </c>
      <c r="P275" t="s">
        <v>61</v>
      </c>
      <c r="Q275" t="s">
        <v>90</v>
      </c>
    </row>
    <row r="276" spans="1:17">
      <c r="A276" t="s">
        <v>1770</v>
      </c>
      <c r="B276" t="s">
        <v>13</v>
      </c>
      <c r="C276">
        <v>2627</v>
      </c>
      <c r="D276" t="s">
        <v>1473</v>
      </c>
      <c r="E276" t="s">
        <v>1472</v>
      </c>
      <c r="F276">
        <v>8</v>
      </c>
      <c r="G276">
        <v>2</v>
      </c>
      <c r="H276" s="19">
        <v>46414</v>
      </c>
      <c r="I276" s="7" t="s">
        <v>1470</v>
      </c>
      <c r="J276">
        <v>2</v>
      </c>
      <c r="K276" t="s">
        <v>15</v>
      </c>
      <c r="N276" t="s">
        <v>98</v>
      </c>
      <c r="O276" t="s">
        <v>1497</v>
      </c>
      <c r="P276" t="s">
        <v>14</v>
      </c>
      <c r="Q276" t="s">
        <v>97</v>
      </c>
    </row>
    <row r="277" spans="1:17">
      <c r="A277" t="s">
        <v>1771</v>
      </c>
      <c r="B277" t="s">
        <v>13</v>
      </c>
      <c r="C277">
        <v>2627</v>
      </c>
      <c r="D277" t="s">
        <v>1473</v>
      </c>
      <c r="E277" t="s">
        <v>1472</v>
      </c>
      <c r="F277">
        <v>8</v>
      </c>
      <c r="G277">
        <v>3</v>
      </c>
      <c r="H277" s="19">
        <v>46414</v>
      </c>
      <c r="I277" s="7" t="s">
        <v>1470</v>
      </c>
      <c r="J277">
        <v>3</v>
      </c>
      <c r="K277" t="s">
        <v>70</v>
      </c>
      <c r="N277" t="s">
        <v>82</v>
      </c>
      <c r="O277" t="s">
        <v>1497</v>
      </c>
      <c r="P277" t="s">
        <v>68</v>
      </c>
      <c r="Q277" t="s">
        <v>80</v>
      </c>
    </row>
    <row r="278" spans="1:17">
      <c r="A278" t="s">
        <v>1772</v>
      </c>
      <c r="B278" t="s">
        <v>13</v>
      </c>
      <c r="C278">
        <v>2627</v>
      </c>
      <c r="D278" t="s">
        <v>1473</v>
      </c>
      <c r="E278" t="s">
        <v>1472</v>
      </c>
      <c r="F278">
        <v>8</v>
      </c>
      <c r="G278">
        <v>4</v>
      </c>
      <c r="H278" s="19">
        <v>46414</v>
      </c>
      <c r="I278" s="7" t="s">
        <v>1470</v>
      </c>
      <c r="J278">
        <v>4</v>
      </c>
      <c r="K278" t="s">
        <v>44</v>
      </c>
      <c r="N278" t="s">
        <v>88</v>
      </c>
      <c r="O278" t="s">
        <v>1497</v>
      </c>
      <c r="P278" t="s">
        <v>43</v>
      </c>
      <c r="Q278" t="s">
        <v>87</v>
      </c>
    </row>
    <row r="279" spans="1:17">
      <c r="A279" t="s">
        <v>1773</v>
      </c>
      <c r="B279" t="s">
        <v>13</v>
      </c>
      <c r="C279">
        <v>2627</v>
      </c>
      <c r="D279" t="s">
        <v>1473</v>
      </c>
      <c r="E279" t="s">
        <v>1472</v>
      </c>
      <c r="F279">
        <v>8</v>
      </c>
      <c r="G279">
        <v>5</v>
      </c>
      <c r="H279" s="19">
        <v>46414</v>
      </c>
      <c r="I279" s="7" t="s">
        <v>1470</v>
      </c>
      <c r="J279">
        <v>5</v>
      </c>
      <c r="K279" t="s">
        <v>40</v>
      </c>
      <c r="N279" t="s">
        <v>22</v>
      </c>
      <c r="O279" t="s">
        <v>1497</v>
      </c>
      <c r="P279" t="s">
        <v>38</v>
      </c>
      <c r="Q279" t="s">
        <v>21</v>
      </c>
    </row>
    <row r="280" spans="1:17">
      <c r="A280" t="s">
        <v>1774</v>
      </c>
      <c r="B280" t="s">
        <v>13</v>
      </c>
      <c r="C280">
        <v>2627</v>
      </c>
      <c r="D280" t="s">
        <v>1473</v>
      </c>
      <c r="E280" t="s">
        <v>1469</v>
      </c>
      <c r="F280">
        <v>9</v>
      </c>
      <c r="G280">
        <v>1</v>
      </c>
      <c r="H280" s="19">
        <v>46421</v>
      </c>
      <c r="I280" s="7" t="s">
        <v>1466</v>
      </c>
      <c r="J280">
        <v>1</v>
      </c>
      <c r="K280" t="s">
        <v>31</v>
      </c>
      <c r="N280" t="s">
        <v>57</v>
      </c>
      <c r="O280" t="s">
        <v>1497</v>
      </c>
      <c r="P280" t="s">
        <v>30</v>
      </c>
      <c r="Q280" t="s">
        <v>55</v>
      </c>
    </row>
    <row r="281" spans="1:17">
      <c r="A281" t="s">
        <v>1775</v>
      </c>
      <c r="B281" t="s">
        <v>13</v>
      </c>
      <c r="C281">
        <v>2627</v>
      </c>
      <c r="D281" t="s">
        <v>1473</v>
      </c>
      <c r="E281" t="s">
        <v>1469</v>
      </c>
      <c r="F281">
        <v>9</v>
      </c>
      <c r="G281">
        <v>2</v>
      </c>
      <c r="H281" s="19">
        <v>46421</v>
      </c>
      <c r="I281" s="7" t="s">
        <v>1466</v>
      </c>
      <c r="J281">
        <v>2</v>
      </c>
      <c r="K281" t="s">
        <v>77</v>
      </c>
      <c r="N281" t="s">
        <v>26</v>
      </c>
      <c r="O281" t="s">
        <v>1497</v>
      </c>
      <c r="P281" t="s">
        <v>76</v>
      </c>
      <c r="Q281" t="s">
        <v>24</v>
      </c>
    </row>
    <row r="282" spans="1:17">
      <c r="A282" t="s">
        <v>1776</v>
      </c>
      <c r="B282" t="s">
        <v>13</v>
      </c>
      <c r="C282">
        <v>2627</v>
      </c>
      <c r="D282" t="s">
        <v>1473</v>
      </c>
      <c r="E282" t="s">
        <v>1469</v>
      </c>
      <c r="F282">
        <v>9</v>
      </c>
      <c r="G282">
        <v>3</v>
      </c>
      <c r="H282" s="19">
        <v>46421</v>
      </c>
      <c r="I282" s="7" t="s">
        <v>1466</v>
      </c>
      <c r="J282">
        <v>3</v>
      </c>
      <c r="K282" t="s">
        <v>60</v>
      </c>
      <c r="N282" t="s">
        <v>29</v>
      </c>
      <c r="O282" t="s">
        <v>1497</v>
      </c>
      <c r="P282" t="s">
        <v>59</v>
      </c>
      <c r="Q282" t="s">
        <v>28</v>
      </c>
    </row>
    <row r="283" spans="1:17">
      <c r="A283" t="s">
        <v>1777</v>
      </c>
      <c r="B283" t="s">
        <v>13</v>
      </c>
      <c r="C283">
        <v>2627</v>
      </c>
      <c r="D283" t="s">
        <v>1473</v>
      </c>
      <c r="E283" t="s">
        <v>1469</v>
      </c>
      <c r="F283">
        <v>9</v>
      </c>
      <c r="G283">
        <v>4</v>
      </c>
      <c r="H283" s="19">
        <v>46421</v>
      </c>
      <c r="I283" s="7" t="s">
        <v>1466</v>
      </c>
      <c r="J283">
        <v>4</v>
      </c>
      <c r="K283" t="s">
        <v>53</v>
      </c>
      <c r="N283" t="s">
        <v>85</v>
      </c>
      <c r="O283" t="s">
        <v>1497</v>
      </c>
      <c r="P283" t="s">
        <v>52</v>
      </c>
      <c r="Q283" t="s">
        <v>83</v>
      </c>
    </row>
    <row r="284" spans="1:17">
      <c r="A284" t="s">
        <v>1778</v>
      </c>
      <c r="B284" t="s">
        <v>13</v>
      </c>
      <c r="C284">
        <v>2627</v>
      </c>
      <c r="D284" t="s">
        <v>1473</v>
      </c>
      <c r="E284" t="s">
        <v>1469</v>
      </c>
      <c r="F284">
        <v>9</v>
      </c>
      <c r="G284">
        <v>5</v>
      </c>
      <c r="H284" s="19">
        <v>46421</v>
      </c>
      <c r="I284" s="7" t="s">
        <v>1466</v>
      </c>
      <c r="J284">
        <v>5</v>
      </c>
      <c r="K284" t="s">
        <v>74</v>
      </c>
      <c r="N284" t="s">
        <v>18</v>
      </c>
      <c r="O284" t="s">
        <v>1497</v>
      </c>
      <c r="P284" t="s">
        <v>72</v>
      </c>
      <c r="Q284" t="s">
        <v>17</v>
      </c>
    </row>
    <row r="285" spans="1:17">
      <c r="A285" t="s">
        <v>1779</v>
      </c>
      <c r="B285" t="s">
        <v>13</v>
      </c>
      <c r="C285">
        <v>2627</v>
      </c>
      <c r="D285" t="s">
        <v>1473</v>
      </c>
      <c r="E285" t="s">
        <v>1472</v>
      </c>
      <c r="F285">
        <v>9</v>
      </c>
      <c r="G285">
        <v>1</v>
      </c>
      <c r="H285" s="19">
        <v>46421</v>
      </c>
      <c r="I285" s="7" t="s">
        <v>1470</v>
      </c>
      <c r="J285">
        <v>1</v>
      </c>
      <c r="K285" t="s">
        <v>91</v>
      </c>
      <c r="N285" t="s">
        <v>15</v>
      </c>
      <c r="O285" t="s">
        <v>1497</v>
      </c>
      <c r="P285" t="s">
        <v>90</v>
      </c>
      <c r="Q285" t="s">
        <v>14</v>
      </c>
    </row>
    <row r="286" spans="1:17">
      <c r="A286" t="s">
        <v>1780</v>
      </c>
      <c r="B286" t="s">
        <v>13</v>
      </c>
      <c r="C286">
        <v>2627</v>
      </c>
      <c r="D286" t="s">
        <v>1473</v>
      </c>
      <c r="E286" t="s">
        <v>1472</v>
      </c>
      <c r="F286">
        <v>9</v>
      </c>
      <c r="G286">
        <v>2</v>
      </c>
      <c r="H286" s="19">
        <v>46421</v>
      </c>
      <c r="I286" s="7" t="s">
        <v>1470</v>
      </c>
      <c r="J286">
        <v>2</v>
      </c>
      <c r="K286" t="s">
        <v>63</v>
      </c>
      <c r="N286" t="s">
        <v>70</v>
      </c>
      <c r="O286" t="s">
        <v>1497</v>
      </c>
      <c r="P286" t="s">
        <v>61</v>
      </c>
      <c r="Q286" t="s">
        <v>68</v>
      </c>
    </row>
    <row r="287" spans="1:17">
      <c r="A287" t="s">
        <v>1781</v>
      </c>
      <c r="B287" t="s">
        <v>13</v>
      </c>
      <c r="C287">
        <v>2627</v>
      </c>
      <c r="D287" t="s">
        <v>1473</v>
      </c>
      <c r="E287" t="s">
        <v>1472</v>
      </c>
      <c r="F287">
        <v>9</v>
      </c>
      <c r="G287">
        <v>3</v>
      </c>
      <c r="H287" s="19">
        <v>46421</v>
      </c>
      <c r="I287" s="7" t="s">
        <v>1470</v>
      </c>
      <c r="J287">
        <v>3</v>
      </c>
      <c r="K287" t="s">
        <v>98</v>
      </c>
      <c r="N287" t="s">
        <v>44</v>
      </c>
      <c r="O287" t="s">
        <v>1497</v>
      </c>
      <c r="P287" t="s">
        <v>97</v>
      </c>
      <c r="Q287" t="s">
        <v>43</v>
      </c>
    </row>
    <row r="288" spans="1:17">
      <c r="A288" t="s">
        <v>1782</v>
      </c>
      <c r="B288" t="s">
        <v>13</v>
      </c>
      <c r="C288">
        <v>2627</v>
      </c>
      <c r="D288" t="s">
        <v>1473</v>
      </c>
      <c r="E288" t="s">
        <v>1472</v>
      </c>
      <c r="F288">
        <v>9</v>
      </c>
      <c r="G288">
        <v>4</v>
      </c>
      <c r="H288" s="19">
        <v>46421</v>
      </c>
      <c r="I288" s="7" t="s">
        <v>1470</v>
      </c>
      <c r="J288">
        <v>4</v>
      </c>
      <c r="K288" t="s">
        <v>88</v>
      </c>
      <c r="N288" t="s">
        <v>40</v>
      </c>
      <c r="O288" t="s">
        <v>1497</v>
      </c>
      <c r="P288" t="s">
        <v>87</v>
      </c>
      <c r="Q288" t="s">
        <v>38</v>
      </c>
    </row>
    <row r="289" spans="1:17">
      <c r="A289" t="s">
        <v>1783</v>
      </c>
      <c r="B289" t="s">
        <v>13</v>
      </c>
      <c r="C289">
        <v>2627</v>
      </c>
      <c r="D289" t="s">
        <v>1473</v>
      </c>
      <c r="E289" t="s">
        <v>1472</v>
      </c>
      <c r="F289">
        <v>9</v>
      </c>
      <c r="G289">
        <v>5</v>
      </c>
      <c r="H289" s="19">
        <v>46421</v>
      </c>
      <c r="I289" s="7" t="s">
        <v>1470</v>
      </c>
      <c r="J289">
        <v>5</v>
      </c>
      <c r="K289" t="s">
        <v>66</v>
      </c>
      <c r="N289" t="s">
        <v>22</v>
      </c>
      <c r="O289" t="s">
        <v>1497</v>
      </c>
      <c r="P289" t="s">
        <v>64</v>
      </c>
      <c r="Q289" t="s">
        <v>21</v>
      </c>
    </row>
    <row r="290" spans="1:17">
      <c r="A290" t="s">
        <v>1784</v>
      </c>
      <c r="B290" t="s">
        <v>13</v>
      </c>
      <c r="C290">
        <v>2627</v>
      </c>
      <c r="D290" t="s">
        <v>1473</v>
      </c>
      <c r="E290" t="s">
        <v>1469</v>
      </c>
      <c r="F290">
        <v>10</v>
      </c>
      <c r="G290">
        <v>1</v>
      </c>
      <c r="H290" s="19">
        <v>46428</v>
      </c>
      <c r="I290" s="7" t="s">
        <v>1466</v>
      </c>
      <c r="J290">
        <v>1</v>
      </c>
      <c r="K290" t="s">
        <v>26</v>
      </c>
      <c r="N290" t="s">
        <v>31</v>
      </c>
      <c r="O290" t="s">
        <v>1497</v>
      </c>
      <c r="P290" t="s">
        <v>24</v>
      </c>
      <c r="Q290" t="s">
        <v>30</v>
      </c>
    </row>
    <row r="291" spans="1:17">
      <c r="A291" t="s">
        <v>1785</v>
      </c>
      <c r="B291" t="s">
        <v>13</v>
      </c>
      <c r="C291">
        <v>2627</v>
      </c>
      <c r="D291" t="s">
        <v>1473</v>
      </c>
      <c r="E291" t="s">
        <v>1469</v>
      </c>
      <c r="F291">
        <v>10</v>
      </c>
      <c r="G291">
        <v>2</v>
      </c>
      <c r="H291" s="19">
        <v>46428</v>
      </c>
      <c r="I291" s="7" t="s">
        <v>1466</v>
      </c>
      <c r="J291">
        <v>2</v>
      </c>
      <c r="K291" t="s">
        <v>29</v>
      </c>
      <c r="N291" t="s">
        <v>57</v>
      </c>
      <c r="O291" t="s">
        <v>1497</v>
      </c>
      <c r="P291" t="s">
        <v>28</v>
      </c>
      <c r="Q291" t="s">
        <v>55</v>
      </c>
    </row>
    <row r="292" spans="1:17">
      <c r="A292" t="s">
        <v>1786</v>
      </c>
      <c r="B292" t="s">
        <v>13</v>
      </c>
      <c r="C292">
        <v>2627</v>
      </c>
      <c r="D292" t="s">
        <v>1473</v>
      </c>
      <c r="E292" t="s">
        <v>1469</v>
      </c>
      <c r="F292">
        <v>10</v>
      </c>
      <c r="G292">
        <v>3</v>
      </c>
      <c r="H292" s="19">
        <v>46428</v>
      </c>
      <c r="I292" s="7" t="s">
        <v>1466</v>
      </c>
      <c r="J292">
        <v>3</v>
      </c>
      <c r="K292" t="s">
        <v>85</v>
      </c>
      <c r="N292" t="s">
        <v>77</v>
      </c>
      <c r="O292" t="s">
        <v>1497</v>
      </c>
      <c r="P292" t="s">
        <v>83</v>
      </c>
      <c r="Q292" t="s">
        <v>76</v>
      </c>
    </row>
    <row r="293" spans="1:17">
      <c r="A293" t="s">
        <v>1787</v>
      </c>
      <c r="B293" t="s">
        <v>13</v>
      </c>
      <c r="C293">
        <v>2627</v>
      </c>
      <c r="D293" t="s">
        <v>1473</v>
      </c>
      <c r="E293" t="s">
        <v>1469</v>
      </c>
      <c r="F293">
        <v>10</v>
      </c>
      <c r="G293">
        <v>4</v>
      </c>
      <c r="H293" s="19">
        <v>46428</v>
      </c>
      <c r="I293" s="7" t="s">
        <v>1466</v>
      </c>
      <c r="J293">
        <v>4</v>
      </c>
      <c r="K293" t="s">
        <v>18</v>
      </c>
      <c r="N293" t="s">
        <v>60</v>
      </c>
      <c r="O293" t="s">
        <v>1497</v>
      </c>
      <c r="P293" t="s">
        <v>17</v>
      </c>
      <c r="Q293" t="s">
        <v>59</v>
      </c>
    </row>
    <row r="294" spans="1:17">
      <c r="A294" t="s">
        <v>1788</v>
      </c>
      <c r="B294" t="s">
        <v>13</v>
      </c>
      <c r="C294">
        <v>2627</v>
      </c>
      <c r="D294" t="s">
        <v>1473</v>
      </c>
      <c r="E294" t="s">
        <v>1469</v>
      </c>
      <c r="F294">
        <v>10</v>
      </c>
      <c r="G294">
        <v>5</v>
      </c>
      <c r="H294" s="19">
        <v>46428</v>
      </c>
      <c r="I294" s="7" t="s">
        <v>1466</v>
      </c>
      <c r="J294">
        <v>5</v>
      </c>
      <c r="K294" t="s">
        <v>74</v>
      </c>
      <c r="N294" t="s">
        <v>53</v>
      </c>
      <c r="O294" t="s">
        <v>1497</v>
      </c>
      <c r="P294" t="s">
        <v>72</v>
      </c>
      <c r="Q294" t="s">
        <v>52</v>
      </c>
    </row>
    <row r="295" spans="1:17">
      <c r="A295" t="s">
        <v>1789</v>
      </c>
      <c r="B295" t="s">
        <v>13</v>
      </c>
      <c r="C295">
        <v>2627</v>
      </c>
      <c r="D295" t="s">
        <v>1473</v>
      </c>
      <c r="E295" t="s">
        <v>1472</v>
      </c>
      <c r="F295">
        <v>10</v>
      </c>
      <c r="G295">
        <v>1</v>
      </c>
      <c r="H295" s="19">
        <v>46428</v>
      </c>
      <c r="I295" s="7" t="s">
        <v>1470</v>
      </c>
      <c r="J295">
        <v>1</v>
      </c>
      <c r="K295" t="s">
        <v>70</v>
      </c>
      <c r="N295" t="s">
        <v>91</v>
      </c>
      <c r="O295" t="s">
        <v>1497</v>
      </c>
      <c r="P295" t="s">
        <v>68</v>
      </c>
      <c r="Q295" t="s">
        <v>90</v>
      </c>
    </row>
    <row r="296" spans="1:17">
      <c r="A296" t="s">
        <v>1790</v>
      </c>
      <c r="B296" t="s">
        <v>13</v>
      </c>
      <c r="C296">
        <v>2627</v>
      </c>
      <c r="D296" t="s">
        <v>1473</v>
      </c>
      <c r="E296" t="s">
        <v>1472</v>
      </c>
      <c r="F296">
        <v>10</v>
      </c>
      <c r="G296">
        <v>2</v>
      </c>
      <c r="H296" s="19">
        <v>46428</v>
      </c>
      <c r="I296" s="7" t="s">
        <v>1470</v>
      </c>
      <c r="J296">
        <v>2</v>
      </c>
      <c r="K296" t="s">
        <v>44</v>
      </c>
      <c r="N296" t="s">
        <v>15</v>
      </c>
      <c r="O296" t="s">
        <v>1497</v>
      </c>
      <c r="P296" t="s">
        <v>43</v>
      </c>
      <c r="Q296" t="s">
        <v>14</v>
      </c>
    </row>
    <row r="297" spans="1:17">
      <c r="A297" t="s">
        <v>1791</v>
      </c>
      <c r="B297" t="s">
        <v>13</v>
      </c>
      <c r="C297">
        <v>2627</v>
      </c>
      <c r="D297" t="s">
        <v>1473</v>
      </c>
      <c r="E297" t="s">
        <v>1472</v>
      </c>
      <c r="F297">
        <v>10</v>
      </c>
      <c r="G297">
        <v>3</v>
      </c>
      <c r="H297" s="19">
        <v>46428</v>
      </c>
      <c r="I297" s="7" t="s">
        <v>1470</v>
      </c>
      <c r="J297">
        <v>3</v>
      </c>
      <c r="K297" t="s">
        <v>40</v>
      </c>
      <c r="N297" t="s">
        <v>98</v>
      </c>
      <c r="O297" t="s">
        <v>1497</v>
      </c>
      <c r="P297" t="s">
        <v>38</v>
      </c>
      <c r="Q297" t="s">
        <v>97</v>
      </c>
    </row>
    <row r="298" spans="1:17">
      <c r="A298" t="s">
        <v>1792</v>
      </c>
      <c r="B298" t="s">
        <v>13</v>
      </c>
      <c r="C298">
        <v>2627</v>
      </c>
      <c r="D298" t="s">
        <v>1473</v>
      </c>
      <c r="E298" t="s">
        <v>1472</v>
      </c>
      <c r="F298">
        <v>10</v>
      </c>
      <c r="G298">
        <v>4</v>
      </c>
      <c r="H298" s="19">
        <v>46428</v>
      </c>
      <c r="I298" s="7" t="s">
        <v>1470</v>
      </c>
      <c r="J298">
        <v>4</v>
      </c>
      <c r="K298" t="s">
        <v>22</v>
      </c>
      <c r="N298" t="s">
        <v>82</v>
      </c>
      <c r="O298" t="s">
        <v>1497</v>
      </c>
      <c r="P298" t="s">
        <v>21</v>
      </c>
      <c r="Q298" t="s">
        <v>80</v>
      </c>
    </row>
    <row r="299" spans="1:17">
      <c r="A299" t="s">
        <v>1793</v>
      </c>
      <c r="B299" t="s">
        <v>13</v>
      </c>
      <c r="C299">
        <v>2627</v>
      </c>
      <c r="D299" t="s">
        <v>1473</v>
      </c>
      <c r="E299" t="s">
        <v>1472</v>
      </c>
      <c r="F299">
        <v>10</v>
      </c>
      <c r="G299">
        <v>5</v>
      </c>
      <c r="H299" s="19">
        <v>46428</v>
      </c>
      <c r="I299" s="7" t="s">
        <v>1470</v>
      </c>
      <c r="J299">
        <v>5</v>
      </c>
      <c r="K299" t="s">
        <v>66</v>
      </c>
      <c r="N299" t="s">
        <v>88</v>
      </c>
      <c r="O299" t="s">
        <v>1497</v>
      </c>
      <c r="P299" t="s">
        <v>64</v>
      </c>
      <c r="Q299" t="s">
        <v>87</v>
      </c>
    </row>
    <row r="300" spans="1:17">
      <c r="A300" t="s">
        <v>1794</v>
      </c>
      <c r="B300" t="s">
        <v>13</v>
      </c>
      <c r="C300">
        <v>2627</v>
      </c>
      <c r="D300" t="s">
        <v>1473</v>
      </c>
      <c r="E300" t="s">
        <v>1469</v>
      </c>
      <c r="F300">
        <v>11</v>
      </c>
      <c r="G300">
        <v>1</v>
      </c>
      <c r="H300" s="19">
        <v>46435</v>
      </c>
      <c r="I300" s="7" t="s">
        <v>1466</v>
      </c>
      <c r="J300">
        <v>1</v>
      </c>
      <c r="K300" t="s">
        <v>31</v>
      </c>
      <c r="N300" t="s">
        <v>29</v>
      </c>
      <c r="O300" t="s">
        <v>1497</v>
      </c>
      <c r="P300" t="s">
        <v>30</v>
      </c>
      <c r="Q300" t="s">
        <v>28</v>
      </c>
    </row>
    <row r="301" spans="1:17">
      <c r="A301" t="s">
        <v>1795</v>
      </c>
      <c r="B301" t="s">
        <v>13</v>
      </c>
      <c r="C301">
        <v>2627</v>
      </c>
      <c r="D301" t="s">
        <v>1473</v>
      </c>
      <c r="E301" t="s">
        <v>1469</v>
      </c>
      <c r="F301">
        <v>11</v>
      </c>
      <c r="G301">
        <v>2</v>
      </c>
      <c r="H301" s="19">
        <v>46435</v>
      </c>
      <c r="I301" s="7" t="s">
        <v>1466</v>
      </c>
      <c r="J301">
        <v>2</v>
      </c>
      <c r="K301" t="s">
        <v>26</v>
      </c>
      <c r="N301" t="s">
        <v>85</v>
      </c>
      <c r="O301" t="s">
        <v>1497</v>
      </c>
      <c r="P301" t="s">
        <v>24</v>
      </c>
      <c r="Q301" t="s">
        <v>83</v>
      </c>
    </row>
    <row r="302" spans="1:17">
      <c r="A302" t="s">
        <v>1796</v>
      </c>
      <c r="B302" t="s">
        <v>13</v>
      </c>
      <c r="C302">
        <v>2627</v>
      </c>
      <c r="D302" t="s">
        <v>1473</v>
      </c>
      <c r="E302" t="s">
        <v>1469</v>
      </c>
      <c r="F302">
        <v>11</v>
      </c>
      <c r="G302">
        <v>3</v>
      </c>
      <c r="H302" s="19">
        <v>46435</v>
      </c>
      <c r="I302" s="7" t="s">
        <v>1466</v>
      </c>
      <c r="J302">
        <v>3</v>
      </c>
      <c r="K302" t="s">
        <v>57</v>
      </c>
      <c r="N302" t="s">
        <v>18</v>
      </c>
      <c r="O302" t="s">
        <v>1497</v>
      </c>
      <c r="P302" t="s">
        <v>55</v>
      </c>
      <c r="Q302" t="s">
        <v>17</v>
      </c>
    </row>
    <row r="303" spans="1:17">
      <c r="A303" t="s">
        <v>1797</v>
      </c>
      <c r="B303" t="s">
        <v>13</v>
      </c>
      <c r="C303">
        <v>2627</v>
      </c>
      <c r="D303" t="s">
        <v>1473</v>
      </c>
      <c r="E303" t="s">
        <v>1469</v>
      </c>
      <c r="F303">
        <v>11</v>
      </c>
      <c r="G303">
        <v>4</v>
      </c>
      <c r="H303" s="19">
        <v>46435</v>
      </c>
      <c r="I303" s="7" t="s">
        <v>1466</v>
      </c>
      <c r="J303">
        <v>4</v>
      </c>
      <c r="K303" t="s">
        <v>77</v>
      </c>
      <c r="N303" t="s">
        <v>74</v>
      </c>
      <c r="O303" t="s">
        <v>1497</v>
      </c>
      <c r="P303" t="s">
        <v>76</v>
      </c>
      <c r="Q303" t="s">
        <v>72</v>
      </c>
    </row>
    <row r="304" spans="1:17">
      <c r="A304" t="s">
        <v>1798</v>
      </c>
      <c r="B304" t="s">
        <v>13</v>
      </c>
      <c r="C304">
        <v>2627</v>
      </c>
      <c r="D304" t="s">
        <v>1473</v>
      </c>
      <c r="E304" t="s">
        <v>1469</v>
      </c>
      <c r="F304">
        <v>11</v>
      </c>
      <c r="G304">
        <v>5</v>
      </c>
      <c r="H304" s="19">
        <v>46435</v>
      </c>
      <c r="I304" s="7" t="s">
        <v>1466</v>
      </c>
      <c r="J304">
        <v>5</v>
      </c>
      <c r="K304" t="s">
        <v>60</v>
      </c>
      <c r="N304" t="s">
        <v>53</v>
      </c>
      <c r="O304" t="s">
        <v>1497</v>
      </c>
      <c r="P304" t="s">
        <v>59</v>
      </c>
      <c r="Q304" t="s">
        <v>52</v>
      </c>
    </row>
    <row r="305" spans="1:17">
      <c r="A305" t="s">
        <v>1799</v>
      </c>
      <c r="B305" t="s">
        <v>13</v>
      </c>
      <c r="C305">
        <v>2627</v>
      </c>
      <c r="D305" t="s">
        <v>1473</v>
      </c>
      <c r="E305" t="s">
        <v>1472</v>
      </c>
      <c r="F305">
        <v>11</v>
      </c>
      <c r="G305">
        <v>1</v>
      </c>
      <c r="H305" s="19">
        <v>46435</v>
      </c>
      <c r="I305" s="7" t="s">
        <v>1470</v>
      </c>
      <c r="J305">
        <v>1</v>
      </c>
      <c r="K305" t="s">
        <v>91</v>
      </c>
      <c r="N305" t="s">
        <v>44</v>
      </c>
      <c r="O305" t="s">
        <v>1497</v>
      </c>
      <c r="P305" t="s">
        <v>90</v>
      </c>
      <c r="Q305" t="s">
        <v>43</v>
      </c>
    </row>
    <row r="306" spans="1:17">
      <c r="A306" t="s">
        <v>1800</v>
      </c>
      <c r="B306" t="s">
        <v>13</v>
      </c>
      <c r="C306">
        <v>2627</v>
      </c>
      <c r="D306" t="s">
        <v>1473</v>
      </c>
      <c r="E306" t="s">
        <v>1472</v>
      </c>
      <c r="F306">
        <v>11</v>
      </c>
      <c r="G306">
        <v>2</v>
      </c>
      <c r="H306" s="19">
        <v>46435</v>
      </c>
      <c r="I306" s="7" t="s">
        <v>1470</v>
      </c>
      <c r="J306">
        <v>2</v>
      </c>
      <c r="K306" t="s">
        <v>15</v>
      </c>
      <c r="N306" t="s">
        <v>40</v>
      </c>
      <c r="O306" t="s">
        <v>1497</v>
      </c>
      <c r="P306" t="s">
        <v>14</v>
      </c>
      <c r="Q306" t="s">
        <v>38</v>
      </c>
    </row>
    <row r="307" spans="1:17">
      <c r="A307" t="s">
        <v>1801</v>
      </c>
      <c r="B307" t="s">
        <v>13</v>
      </c>
      <c r="C307">
        <v>2627</v>
      </c>
      <c r="D307" t="s">
        <v>1473</v>
      </c>
      <c r="E307" t="s">
        <v>1472</v>
      </c>
      <c r="F307">
        <v>11</v>
      </c>
      <c r="G307">
        <v>3</v>
      </c>
      <c r="H307" s="19">
        <v>46435</v>
      </c>
      <c r="I307" s="7" t="s">
        <v>1470</v>
      </c>
      <c r="J307">
        <v>3</v>
      </c>
      <c r="K307" t="s">
        <v>63</v>
      </c>
      <c r="N307" t="s">
        <v>22</v>
      </c>
      <c r="O307" t="s">
        <v>1497</v>
      </c>
      <c r="P307" t="s">
        <v>61</v>
      </c>
      <c r="Q307" t="s">
        <v>21</v>
      </c>
    </row>
    <row r="308" spans="1:17">
      <c r="A308" t="s">
        <v>1802</v>
      </c>
      <c r="B308" t="s">
        <v>13</v>
      </c>
      <c r="C308">
        <v>2627</v>
      </c>
      <c r="D308" t="s">
        <v>1473</v>
      </c>
      <c r="E308" t="s">
        <v>1472</v>
      </c>
      <c r="F308">
        <v>11</v>
      </c>
      <c r="G308">
        <v>4</v>
      </c>
      <c r="H308" s="19">
        <v>46435</v>
      </c>
      <c r="I308" s="7" t="s">
        <v>1470</v>
      </c>
      <c r="J308">
        <v>4</v>
      </c>
      <c r="K308" t="s">
        <v>98</v>
      </c>
      <c r="N308" t="s">
        <v>66</v>
      </c>
      <c r="O308" t="s">
        <v>1497</v>
      </c>
      <c r="P308" t="s">
        <v>97</v>
      </c>
      <c r="Q308" t="s">
        <v>64</v>
      </c>
    </row>
    <row r="309" spans="1:17">
      <c r="A309" t="s">
        <v>1803</v>
      </c>
      <c r="B309" t="s">
        <v>13</v>
      </c>
      <c r="C309">
        <v>2627</v>
      </c>
      <c r="D309" t="s">
        <v>1473</v>
      </c>
      <c r="E309" t="s">
        <v>1472</v>
      </c>
      <c r="F309">
        <v>11</v>
      </c>
      <c r="G309">
        <v>5</v>
      </c>
      <c r="H309" s="19">
        <v>46435</v>
      </c>
      <c r="I309" s="7" t="s">
        <v>1470</v>
      </c>
      <c r="J309">
        <v>5</v>
      </c>
      <c r="K309" t="s">
        <v>82</v>
      </c>
      <c r="N309" t="s">
        <v>88</v>
      </c>
      <c r="O309" t="s">
        <v>1497</v>
      </c>
      <c r="P309" t="s">
        <v>80</v>
      </c>
      <c r="Q309" t="s">
        <v>87</v>
      </c>
    </row>
    <row r="310" spans="1:17">
      <c r="A310" t="s">
        <v>1804</v>
      </c>
      <c r="B310" t="s">
        <v>106</v>
      </c>
      <c r="C310">
        <v>2627</v>
      </c>
      <c r="D310" t="s">
        <v>1475</v>
      </c>
      <c r="E310" t="s">
        <v>1476</v>
      </c>
      <c r="F310">
        <v>1</v>
      </c>
      <c r="G310">
        <v>1</v>
      </c>
      <c r="H310" s="19">
        <v>46331</v>
      </c>
      <c r="I310" s="7" t="s">
        <v>1805</v>
      </c>
      <c r="J310">
        <v>1</v>
      </c>
      <c r="K310" t="s">
        <v>105</v>
      </c>
      <c r="N310" t="s">
        <v>296</v>
      </c>
      <c r="O310" t="s">
        <v>1497</v>
      </c>
    </row>
    <row r="311" spans="1:17">
      <c r="A311" t="s">
        <v>1806</v>
      </c>
      <c r="B311" t="s">
        <v>106</v>
      </c>
      <c r="C311">
        <v>2627</v>
      </c>
      <c r="D311" t="s">
        <v>1475</v>
      </c>
      <c r="E311" t="s">
        <v>1476</v>
      </c>
      <c r="F311">
        <v>1</v>
      </c>
      <c r="G311">
        <v>2</v>
      </c>
      <c r="H311" s="19">
        <v>46331</v>
      </c>
      <c r="I311" s="7" t="s">
        <v>1805</v>
      </c>
      <c r="J311">
        <v>2</v>
      </c>
      <c r="K311" t="s">
        <v>275</v>
      </c>
      <c r="N311" t="s">
        <v>293</v>
      </c>
      <c r="O311" t="s">
        <v>1497</v>
      </c>
    </row>
    <row r="312" spans="1:17">
      <c r="A312" t="s">
        <v>1807</v>
      </c>
      <c r="B312" t="s">
        <v>106</v>
      </c>
      <c r="C312">
        <v>2627</v>
      </c>
      <c r="D312" t="s">
        <v>1475</v>
      </c>
      <c r="E312" t="s">
        <v>1476</v>
      </c>
      <c r="F312">
        <v>1</v>
      </c>
      <c r="G312">
        <v>3</v>
      </c>
      <c r="H312" s="19">
        <v>46331</v>
      </c>
      <c r="I312" s="7" t="s">
        <v>1805</v>
      </c>
      <c r="J312">
        <v>3</v>
      </c>
      <c r="K312" t="s">
        <v>113</v>
      </c>
      <c r="N312" t="s">
        <v>116</v>
      </c>
      <c r="O312" t="s">
        <v>1497</v>
      </c>
    </row>
    <row r="313" spans="1:17">
      <c r="A313" t="s">
        <v>1808</v>
      </c>
      <c r="B313" t="s">
        <v>106</v>
      </c>
      <c r="C313">
        <v>2627</v>
      </c>
      <c r="D313" t="s">
        <v>1475</v>
      </c>
      <c r="E313" t="s">
        <v>1476</v>
      </c>
      <c r="F313">
        <v>2</v>
      </c>
      <c r="G313">
        <v>1</v>
      </c>
      <c r="H313" s="19">
        <v>46338</v>
      </c>
      <c r="I313" s="7" t="s">
        <v>1805</v>
      </c>
      <c r="J313">
        <v>1</v>
      </c>
      <c r="K313" t="s">
        <v>293</v>
      </c>
      <c r="N313" t="s">
        <v>105</v>
      </c>
      <c r="O313" t="s">
        <v>1497</v>
      </c>
    </row>
    <row r="314" spans="1:17">
      <c r="A314" t="s">
        <v>1809</v>
      </c>
      <c r="B314" t="s">
        <v>106</v>
      </c>
      <c r="C314">
        <v>2627</v>
      </c>
      <c r="D314" t="s">
        <v>1475</v>
      </c>
      <c r="E314" t="s">
        <v>1476</v>
      </c>
      <c r="F314">
        <v>2</v>
      </c>
      <c r="G314">
        <v>2</v>
      </c>
      <c r="H314" s="19">
        <v>46338</v>
      </c>
      <c r="I314" s="7" t="s">
        <v>1805</v>
      </c>
      <c r="J314">
        <v>2</v>
      </c>
      <c r="K314" t="s">
        <v>116</v>
      </c>
      <c r="N314" t="s">
        <v>296</v>
      </c>
      <c r="O314" t="s">
        <v>1497</v>
      </c>
    </row>
    <row r="315" spans="1:17">
      <c r="A315" t="s">
        <v>1810</v>
      </c>
      <c r="B315" t="s">
        <v>106</v>
      </c>
      <c r="C315">
        <v>2627</v>
      </c>
      <c r="D315" t="s">
        <v>1475</v>
      </c>
      <c r="E315" t="s">
        <v>1476</v>
      </c>
      <c r="F315">
        <v>2</v>
      </c>
      <c r="G315">
        <v>3</v>
      </c>
      <c r="H315" s="19">
        <v>46338</v>
      </c>
      <c r="I315" s="7" t="s">
        <v>1805</v>
      </c>
      <c r="J315">
        <v>3</v>
      </c>
      <c r="K315" t="s">
        <v>113</v>
      </c>
      <c r="N315" t="s">
        <v>275</v>
      </c>
      <c r="O315" t="s">
        <v>1497</v>
      </c>
    </row>
    <row r="316" spans="1:17">
      <c r="A316" t="s">
        <v>1811</v>
      </c>
      <c r="B316" t="s">
        <v>106</v>
      </c>
      <c r="C316">
        <v>2627</v>
      </c>
      <c r="D316" t="s">
        <v>1475</v>
      </c>
      <c r="E316" t="s">
        <v>1476</v>
      </c>
      <c r="F316">
        <v>3</v>
      </c>
      <c r="G316">
        <v>1</v>
      </c>
      <c r="H316" s="19">
        <v>46345</v>
      </c>
      <c r="I316" s="7" t="s">
        <v>1805</v>
      </c>
      <c r="J316">
        <v>1</v>
      </c>
      <c r="K316" t="s">
        <v>105</v>
      </c>
      <c r="N316" t="s">
        <v>116</v>
      </c>
      <c r="O316" t="s">
        <v>1497</v>
      </c>
    </row>
    <row r="317" spans="1:17">
      <c r="A317" t="s">
        <v>1812</v>
      </c>
      <c r="B317" t="s">
        <v>106</v>
      </c>
      <c r="C317">
        <v>2627</v>
      </c>
      <c r="D317" t="s">
        <v>1475</v>
      </c>
      <c r="E317" t="s">
        <v>1476</v>
      </c>
      <c r="F317">
        <v>3</v>
      </c>
      <c r="G317">
        <v>2</v>
      </c>
      <c r="H317" s="19">
        <v>46345</v>
      </c>
      <c r="I317" s="7" t="s">
        <v>1805</v>
      </c>
      <c r="J317">
        <v>2</v>
      </c>
      <c r="K317" t="s">
        <v>293</v>
      </c>
      <c r="N317" t="s">
        <v>113</v>
      </c>
      <c r="O317" t="s">
        <v>1497</v>
      </c>
    </row>
    <row r="318" spans="1:17">
      <c r="A318" t="s">
        <v>1813</v>
      </c>
      <c r="B318" t="s">
        <v>106</v>
      </c>
      <c r="C318">
        <v>2627</v>
      </c>
      <c r="D318" t="s">
        <v>1475</v>
      </c>
      <c r="E318" t="s">
        <v>1476</v>
      </c>
      <c r="F318">
        <v>3</v>
      </c>
      <c r="G318">
        <v>3</v>
      </c>
      <c r="H318" s="19">
        <v>46345</v>
      </c>
      <c r="I318" s="7" t="s">
        <v>1805</v>
      </c>
      <c r="J318">
        <v>3</v>
      </c>
      <c r="K318" t="s">
        <v>296</v>
      </c>
      <c r="N318" t="s">
        <v>275</v>
      </c>
      <c r="O318" t="s">
        <v>1497</v>
      </c>
    </row>
    <row r="319" spans="1:17">
      <c r="A319" t="s">
        <v>1814</v>
      </c>
      <c r="B319" t="s">
        <v>106</v>
      </c>
      <c r="C319">
        <v>2627</v>
      </c>
      <c r="D319" t="s">
        <v>1475</v>
      </c>
      <c r="E319" t="s">
        <v>1476</v>
      </c>
      <c r="F319">
        <v>4</v>
      </c>
      <c r="G319">
        <v>1</v>
      </c>
      <c r="H319" s="19">
        <v>46352</v>
      </c>
      <c r="I319" s="7" t="s">
        <v>1805</v>
      </c>
      <c r="J319">
        <v>1</v>
      </c>
      <c r="K319" t="s">
        <v>113</v>
      </c>
      <c r="N319" t="s">
        <v>105</v>
      </c>
      <c r="O319" t="s">
        <v>1497</v>
      </c>
    </row>
    <row r="320" spans="1:17">
      <c r="A320" t="s">
        <v>1815</v>
      </c>
      <c r="B320" t="s">
        <v>106</v>
      </c>
      <c r="C320">
        <v>2627</v>
      </c>
      <c r="D320" t="s">
        <v>1475</v>
      </c>
      <c r="E320" t="s">
        <v>1476</v>
      </c>
      <c r="F320">
        <v>4</v>
      </c>
      <c r="G320">
        <v>2</v>
      </c>
      <c r="H320" s="19">
        <v>46352</v>
      </c>
      <c r="I320" s="7" t="s">
        <v>1805</v>
      </c>
      <c r="J320">
        <v>2</v>
      </c>
      <c r="K320" t="s">
        <v>275</v>
      </c>
      <c r="N320" t="s">
        <v>116</v>
      </c>
      <c r="O320" t="s">
        <v>1497</v>
      </c>
    </row>
    <row r="321" spans="1:15">
      <c r="A321" t="s">
        <v>1816</v>
      </c>
      <c r="B321" t="s">
        <v>106</v>
      </c>
      <c r="C321">
        <v>2627</v>
      </c>
      <c r="D321" t="s">
        <v>1475</v>
      </c>
      <c r="E321" t="s">
        <v>1476</v>
      </c>
      <c r="F321">
        <v>4</v>
      </c>
      <c r="G321">
        <v>3</v>
      </c>
      <c r="H321" s="19">
        <v>46352</v>
      </c>
      <c r="I321" s="7" t="s">
        <v>1805</v>
      </c>
      <c r="J321">
        <v>3</v>
      </c>
      <c r="K321" t="s">
        <v>296</v>
      </c>
      <c r="N321" t="s">
        <v>293</v>
      </c>
      <c r="O321" t="s">
        <v>1497</v>
      </c>
    </row>
    <row r="322" spans="1:15">
      <c r="A322" t="s">
        <v>1817</v>
      </c>
      <c r="B322" t="s">
        <v>106</v>
      </c>
      <c r="C322">
        <v>2627</v>
      </c>
      <c r="D322" t="s">
        <v>1475</v>
      </c>
      <c r="E322" t="s">
        <v>1476</v>
      </c>
      <c r="F322">
        <v>5</v>
      </c>
      <c r="G322">
        <v>1</v>
      </c>
      <c r="H322" s="19">
        <v>46359</v>
      </c>
      <c r="I322" s="7" t="s">
        <v>1805</v>
      </c>
      <c r="J322">
        <v>1</v>
      </c>
      <c r="K322" t="s">
        <v>105</v>
      </c>
      <c r="N322" t="s">
        <v>275</v>
      </c>
      <c r="O322" t="s">
        <v>1497</v>
      </c>
    </row>
    <row r="323" spans="1:15">
      <c r="A323" t="s">
        <v>1818</v>
      </c>
      <c r="B323" t="s">
        <v>106</v>
      </c>
      <c r="C323">
        <v>2627</v>
      </c>
      <c r="D323" t="s">
        <v>1475</v>
      </c>
      <c r="E323" t="s">
        <v>1476</v>
      </c>
      <c r="F323">
        <v>5</v>
      </c>
      <c r="G323">
        <v>2</v>
      </c>
      <c r="H323" s="19">
        <v>46359</v>
      </c>
      <c r="I323" s="7" t="s">
        <v>1805</v>
      </c>
      <c r="J323">
        <v>2</v>
      </c>
      <c r="K323" t="s">
        <v>113</v>
      </c>
      <c r="N323" t="s">
        <v>296</v>
      </c>
      <c r="O323" t="s">
        <v>1497</v>
      </c>
    </row>
    <row r="324" spans="1:15">
      <c r="A324" t="s">
        <v>1819</v>
      </c>
      <c r="B324" t="s">
        <v>106</v>
      </c>
      <c r="C324">
        <v>2627</v>
      </c>
      <c r="D324" t="s">
        <v>1475</v>
      </c>
      <c r="E324" t="s">
        <v>1476</v>
      </c>
      <c r="F324">
        <v>5</v>
      </c>
      <c r="G324">
        <v>3</v>
      </c>
      <c r="H324" s="19">
        <v>46359</v>
      </c>
      <c r="I324" s="7" t="s">
        <v>1805</v>
      </c>
      <c r="J324">
        <v>3</v>
      </c>
      <c r="K324" t="s">
        <v>116</v>
      </c>
      <c r="N324" t="s">
        <v>293</v>
      </c>
      <c r="O324" t="s">
        <v>1497</v>
      </c>
    </row>
    <row r="325" spans="1:15">
      <c r="A325" t="s">
        <v>1820</v>
      </c>
      <c r="B325" t="s">
        <v>106</v>
      </c>
      <c r="C325">
        <v>2627</v>
      </c>
      <c r="D325" t="s">
        <v>1475</v>
      </c>
      <c r="E325" t="s">
        <v>1476</v>
      </c>
      <c r="F325">
        <v>6</v>
      </c>
      <c r="G325">
        <v>1</v>
      </c>
      <c r="H325" s="19">
        <v>46366</v>
      </c>
      <c r="I325" s="7" t="s">
        <v>1805</v>
      </c>
      <c r="J325">
        <v>1</v>
      </c>
      <c r="K325" t="s">
        <v>296</v>
      </c>
      <c r="N325" t="s">
        <v>105</v>
      </c>
      <c r="O325" t="s">
        <v>1497</v>
      </c>
    </row>
    <row r="326" spans="1:15">
      <c r="A326" t="s">
        <v>1821</v>
      </c>
      <c r="B326" t="s">
        <v>106</v>
      </c>
      <c r="C326">
        <v>2627</v>
      </c>
      <c r="D326" t="s">
        <v>1475</v>
      </c>
      <c r="E326" t="s">
        <v>1476</v>
      </c>
      <c r="F326">
        <v>6</v>
      </c>
      <c r="G326">
        <v>2</v>
      </c>
      <c r="H326" s="19">
        <v>46366</v>
      </c>
      <c r="I326" s="7" t="s">
        <v>1805</v>
      </c>
      <c r="J326">
        <v>2</v>
      </c>
      <c r="K326" t="s">
        <v>293</v>
      </c>
      <c r="N326" t="s">
        <v>275</v>
      </c>
      <c r="O326" t="s">
        <v>1497</v>
      </c>
    </row>
    <row r="327" spans="1:15">
      <c r="A327" t="s">
        <v>1822</v>
      </c>
      <c r="B327" t="s">
        <v>106</v>
      </c>
      <c r="C327">
        <v>2627</v>
      </c>
      <c r="D327" t="s">
        <v>1475</v>
      </c>
      <c r="E327" t="s">
        <v>1476</v>
      </c>
      <c r="F327">
        <v>6</v>
      </c>
      <c r="G327">
        <v>3</v>
      </c>
      <c r="H327" s="19">
        <v>46366</v>
      </c>
      <c r="I327" s="7" t="s">
        <v>1805</v>
      </c>
      <c r="J327">
        <v>3</v>
      </c>
      <c r="K327" t="s">
        <v>116</v>
      </c>
      <c r="N327" t="s">
        <v>113</v>
      </c>
      <c r="O327" t="s">
        <v>1497</v>
      </c>
    </row>
    <row r="328" spans="1:15">
      <c r="A328" t="s">
        <v>1823</v>
      </c>
      <c r="B328" t="s">
        <v>106</v>
      </c>
      <c r="C328">
        <v>2627</v>
      </c>
      <c r="D328" t="s">
        <v>1475</v>
      </c>
      <c r="E328" t="s">
        <v>1476</v>
      </c>
      <c r="F328">
        <v>7</v>
      </c>
      <c r="G328">
        <v>1</v>
      </c>
      <c r="H328" s="19">
        <v>46373</v>
      </c>
      <c r="I328" s="7" t="s">
        <v>1805</v>
      </c>
      <c r="J328">
        <v>1</v>
      </c>
      <c r="K328" t="s">
        <v>105</v>
      </c>
      <c r="N328" t="s">
        <v>293</v>
      </c>
      <c r="O328" t="s">
        <v>1497</v>
      </c>
    </row>
    <row r="329" spans="1:15">
      <c r="A329" t="s">
        <v>1824</v>
      </c>
      <c r="B329" t="s">
        <v>106</v>
      </c>
      <c r="C329">
        <v>2627</v>
      </c>
      <c r="D329" t="s">
        <v>1475</v>
      </c>
      <c r="E329" t="s">
        <v>1476</v>
      </c>
      <c r="F329">
        <v>7</v>
      </c>
      <c r="G329">
        <v>2</v>
      </c>
      <c r="H329" s="19">
        <v>46373</v>
      </c>
      <c r="I329" s="7" t="s">
        <v>1805</v>
      </c>
      <c r="J329">
        <v>2</v>
      </c>
      <c r="K329" t="s">
        <v>296</v>
      </c>
      <c r="N329" t="s">
        <v>116</v>
      </c>
      <c r="O329" t="s">
        <v>1497</v>
      </c>
    </row>
    <row r="330" spans="1:15">
      <c r="A330" t="s">
        <v>1825</v>
      </c>
      <c r="B330" t="s">
        <v>106</v>
      </c>
      <c r="C330">
        <v>2627</v>
      </c>
      <c r="D330" t="s">
        <v>1475</v>
      </c>
      <c r="E330" t="s">
        <v>1476</v>
      </c>
      <c r="F330">
        <v>7</v>
      </c>
      <c r="G330">
        <v>3</v>
      </c>
      <c r="H330" s="19">
        <v>46373</v>
      </c>
      <c r="I330" s="7" t="s">
        <v>1805</v>
      </c>
      <c r="J330">
        <v>3</v>
      </c>
      <c r="K330" t="s">
        <v>275</v>
      </c>
      <c r="N330" t="s">
        <v>113</v>
      </c>
      <c r="O330" t="s">
        <v>1497</v>
      </c>
    </row>
    <row r="331" spans="1:15">
      <c r="A331" t="s">
        <v>1826</v>
      </c>
      <c r="B331" t="s">
        <v>106</v>
      </c>
      <c r="C331">
        <v>2627</v>
      </c>
      <c r="D331" t="s">
        <v>1475</v>
      </c>
      <c r="E331" t="s">
        <v>1476</v>
      </c>
      <c r="F331">
        <v>8</v>
      </c>
      <c r="G331">
        <v>1</v>
      </c>
      <c r="H331" s="19">
        <v>46394</v>
      </c>
      <c r="I331" s="7" t="s">
        <v>1805</v>
      </c>
      <c r="J331">
        <v>1</v>
      </c>
      <c r="K331" t="s">
        <v>116</v>
      </c>
      <c r="N331" t="s">
        <v>105</v>
      </c>
      <c r="O331" t="s">
        <v>1497</v>
      </c>
    </row>
    <row r="332" spans="1:15">
      <c r="A332" t="s">
        <v>1827</v>
      </c>
      <c r="B332" t="s">
        <v>106</v>
      </c>
      <c r="C332">
        <v>2627</v>
      </c>
      <c r="D332" t="s">
        <v>1475</v>
      </c>
      <c r="E332" t="s">
        <v>1476</v>
      </c>
      <c r="F332">
        <v>8</v>
      </c>
      <c r="G332">
        <v>2</v>
      </c>
      <c r="H332" s="19">
        <v>46394</v>
      </c>
      <c r="I332" s="7" t="s">
        <v>1805</v>
      </c>
      <c r="J332">
        <v>2</v>
      </c>
      <c r="K332" t="s">
        <v>113</v>
      </c>
      <c r="N332" t="s">
        <v>293</v>
      </c>
      <c r="O332" t="s">
        <v>1497</v>
      </c>
    </row>
    <row r="333" spans="1:15">
      <c r="A333" t="s">
        <v>1828</v>
      </c>
      <c r="B333" t="s">
        <v>106</v>
      </c>
      <c r="C333">
        <v>2627</v>
      </c>
      <c r="D333" t="s">
        <v>1475</v>
      </c>
      <c r="E333" t="s">
        <v>1476</v>
      </c>
      <c r="F333">
        <v>8</v>
      </c>
      <c r="G333">
        <v>3</v>
      </c>
      <c r="H333" s="19">
        <v>46394</v>
      </c>
      <c r="I333" s="7" t="s">
        <v>1805</v>
      </c>
      <c r="J333">
        <v>3</v>
      </c>
      <c r="K333" t="s">
        <v>275</v>
      </c>
      <c r="N333" t="s">
        <v>296</v>
      </c>
      <c r="O333" t="s">
        <v>1497</v>
      </c>
    </row>
    <row r="334" spans="1:15">
      <c r="A334" t="s">
        <v>1829</v>
      </c>
      <c r="B334" t="s">
        <v>106</v>
      </c>
      <c r="C334">
        <v>2627</v>
      </c>
      <c r="D334" t="s">
        <v>1475</v>
      </c>
      <c r="E334" t="s">
        <v>1476</v>
      </c>
      <c r="F334">
        <v>9</v>
      </c>
      <c r="G334">
        <v>1</v>
      </c>
      <c r="H334" s="19">
        <v>46401</v>
      </c>
      <c r="I334" s="7" t="s">
        <v>1805</v>
      </c>
      <c r="J334">
        <v>1</v>
      </c>
      <c r="K334" t="s">
        <v>105</v>
      </c>
      <c r="N334" t="s">
        <v>113</v>
      </c>
      <c r="O334" t="s">
        <v>1497</v>
      </c>
    </row>
    <row r="335" spans="1:15">
      <c r="A335" t="s">
        <v>1830</v>
      </c>
      <c r="B335" t="s">
        <v>106</v>
      </c>
      <c r="C335">
        <v>2627</v>
      </c>
      <c r="D335" t="s">
        <v>1475</v>
      </c>
      <c r="E335" t="s">
        <v>1476</v>
      </c>
      <c r="F335">
        <v>9</v>
      </c>
      <c r="G335">
        <v>2</v>
      </c>
      <c r="H335" s="19">
        <v>46401</v>
      </c>
      <c r="I335" s="7" t="s">
        <v>1805</v>
      </c>
      <c r="J335">
        <v>2</v>
      </c>
      <c r="K335" t="s">
        <v>116</v>
      </c>
      <c r="N335" t="s">
        <v>275</v>
      </c>
      <c r="O335" t="s">
        <v>1497</v>
      </c>
    </row>
    <row r="336" spans="1:15">
      <c r="A336" t="s">
        <v>1831</v>
      </c>
      <c r="B336" t="s">
        <v>106</v>
      </c>
      <c r="C336">
        <v>2627</v>
      </c>
      <c r="D336" t="s">
        <v>1475</v>
      </c>
      <c r="E336" t="s">
        <v>1476</v>
      </c>
      <c r="F336">
        <v>9</v>
      </c>
      <c r="G336">
        <v>3</v>
      </c>
      <c r="H336" s="19">
        <v>46401</v>
      </c>
      <c r="I336" s="7" t="s">
        <v>1805</v>
      </c>
      <c r="J336">
        <v>3</v>
      </c>
      <c r="K336" t="s">
        <v>293</v>
      </c>
      <c r="N336" t="s">
        <v>296</v>
      </c>
      <c r="O336" t="s">
        <v>1497</v>
      </c>
    </row>
    <row r="337" spans="1:15">
      <c r="A337" t="s">
        <v>1832</v>
      </c>
      <c r="B337" t="s">
        <v>106</v>
      </c>
      <c r="C337">
        <v>2627</v>
      </c>
      <c r="D337" t="s">
        <v>1475</v>
      </c>
      <c r="E337" t="s">
        <v>1476</v>
      </c>
      <c r="F337">
        <v>10</v>
      </c>
      <c r="G337">
        <v>1</v>
      </c>
      <c r="H337" s="19">
        <v>46408</v>
      </c>
      <c r="I337" s="7" t="s">
        <v>1805</v>
      </c>
      <c r="J337">
        <v>1</v>
      </c>
      <c r="K337" t="s">
        <v>275</v>
      </c>
      <c r="N337" t="s">
        <v>105</v>
      </c>
      <c r="O337" t="s">
        <v>1497</v>
      </c>
    </row>
    <row r="338" spans="1:15">
      <c r="A338" t="s">
        <v>1833</v>
      </c>
      <c r="B338" t="s">
        <v>106</v>
      </c>
      <c r="C338">
        <v>2627</v>
      </c>
      <c r="D338" t="s">
        <v>1475</v>
      </c>
      <c r="E338" t="s">
        <v>1476</v>
      </c>
      <c r="F338">
        <v>10</v>
      </c>
      <c r="G338">
        <v>2</v>
      </c>
      <c r="H338" s="19">
        <v>46408</v>
      </c>
      <c r="I338" s="7" t="s">
        <v>1805</v>
      </c>
      <c r="J338">
        <v>2</v>
      </c>
      <c r="K338" t="s">
        <v>296</v>
      </c>
      <c r="N338" t="s">
        <v>113</v>
      </c>
      <c r="O338" t="s">
        <v>1497</v>
      </c>
    </row>
    <row r="339" spans="1:15">
      <c r="A339" t="s">
        <v>1834</v>
      </c>
      <c r="B339" t="s">
        <v>106</v>
      </c>
      <c r="C339">
        <v>2627</v>
      </c>
      <c r="D339" t="s">
        <v>1475</v>
      </c>
      <c r="E339" t="s">
        <v>1476</v>
      </c>
      <c r="F339">
        <v>10</v>
      </c>
      <c r="G339">
        <v>3</v>
      </c>
      <c r="H339" s="19">
        <v>46408</v>
      </c>
      <c r="I339" s="7" t="s">
        <v>1805</v>
      </c>
      <c r="J339">
        <v>3</v>
      </c>
      <c r="K339" t="s">
        <v>293</v>
      </c>
      <c r="N339" t="s">
        <v>116</v>
      </c>
      <c r="O339" t="s">
        <v>1497</v>
      </c>
    </row>
  </sheetData>
  <pageMargins left="0.4724409448818897" right="0.4724409448818897" top="0.4724409448818897" bottom="0.4724409448818897" header="0.5" footer="0.5"/>
  <pageSetup paperSize="9" scale="43" fitToHeight="0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0">
    <pageSetUpPr fitToPage="1"/>
  </sheetPr>
  <dimension ref="A1:E119"/>
  <sheetViews>
    <sheetView topLeftCell="A35" workbookViewId="0">
      <selection sqref="A1:E1"/>
    </sheetView>
  </sheetViews>
  <sheetFormatPr baseColWidth="10" defaultRowHeight="15"/>
  <cols>
    <col min="1" max="1" width="43.7109375" bestFit="1" customWidth="1"/>
    <col min="2" max="2" width="3.28515625" bestFit="1" customWidth="1"/>
    <col min="3" max="3" width="17.140625" bestFit="1" customWidth="1"/>
    <col min="4" max="4" width="18.7109375" bestFit="1" customWidth="1"/>
    <col min="5" max="5" width="13.5703125" bestFit="1" customWidth="1"/>
  </cols>
  <sheetData>
    <row r="1" spans="1:5" ht="27.95" customHeight="1">
      <c r="A1" s="64" t="s">
        <v>1971</v>
      </c>
      <c r="B1" s="64"/>
      <c r="C1" s="64"/>
      <c r="D1" s="64"/>
      <c r="E1" s="64"/>
    </row>
    <row r="2" spans="1:5" ht="20.100000000000001" customHeight="1">
      <c r="A2" s="26" t="s">
        <v>1450</v>
      </c>
      <c r="B2" s="26" t="s">
        <v>1835</v>
      </c>
      <c r="C2" s="26" t="s">
        <v>1836</v>
      </c>
      <c r="D2" s="26" t="s">
        <v>1837</v>
      </c>
      <c r="E2" s="26" t="s">
        <v>1972</v>
      </c>
    </row>
    <row r="3" spans="1:5" ht="18" customHeight="1">
      <c r="A3" s="27" t="s">
        <v>123</v>
      </c>
      <c r="B3" s="28">
        <v>0</v>
      </c>
      <c r="C3" s="28">
        <v>0</v>
      </c>
      <c r="D3" s="28">
        <v>0</v>
      </c>
      <c r="E3" s="28">
        <v>0</v>
      </c>
    </row>
    <row r="4" spans="1:5" ht="18" customHeight="1">
      <c r="A4" s="29" t="s">
        <v>132</v>
      </c>
      <c r="B4" s="30">
        <v>0</v>
      </c>
      <c r="C4" s="30">
        <v>0</v>
      </c>
      <c r="D4" s="30">
        <v>0</v>
      </c>
      <c r="E4" s="30">
        <v>0</v>
      </c>
    </row>
    <row r="5" spans="1:5" ht="18" customHeight="1">
      <c r="A5" s="27" t="s">
        <v>126</v>
      </c>
      <c r="B5" s="28">
        <v>0</v>
      </c>
      <c r="C5" s="28">
        <v>0</v>
      </c>
      <c r="D5" s="28">
        <v>0</v>
      </c>
      <c r="E5" s="28">
        <v>0</v>
      </c>
    </row>
    <row r="6" spans="1:5" ht="18" customHeight="1">
      <c r="A6" s="29" t="s">
        <v>408</v>
      </c>
      <c r="B6" s="30">
        <v>0</v>
      </c>
      <c r="C6" s="30">
        <v>0</v>
      </c>
      <c r="D6" s="30">
        <v>0</v>
      </c>
      <c r="E6" s="30">
        <v>0</v>
      </c>
    </row>
    <row r="7" spans="1:5" ht="18" customHeight="1">
      <c r="A7" s="27" t="s">
        <v>119</v>
      </c>
      <c r="B7" s="28">
        <v>0</v>
      </c>
      <c r="C7" s="28">
        <v>0</v>
      </c>
      <c r="D7" s="28">
        <v>0</v>
      </c>
      <c r="E7" s="28">
        <v>0</v>
      </c>
    </row>
    <row r="9" spans="1:5" ht="27.95" customHeight="1">
      <c r="A9" s="64" t="s">
        <v>1973</v>
      </c>
      <c r="B9" s="64"/>
      <c r="C9" s="64"/>
      <c r="D9" s="64"/>
      <c r="E9" s="64"/>
    </row>
    <row r="10" spans="1:5" ht="20.100000000000001" customHeight="1">
      <c r="A10" s="26" t="s">
        <v>1450</v>
      </c>
      <c r="B10" s="26" t="s">
        <v>1835</v>
      </c>
      <c r="C10" s="26" t="s">
        <v>1836</v>
      </c>
      <c r="D10" s="26" t="s">
        <v>1837</v>
      </c>
      <c r="E10" s="26" t="s">
        <v>1972</v>
      </c>
    </row>
    <row r="11" spans="1:5" ht="18" customHeight="1">
      <c r="A11" s="27" t="s">
        <v>135</v>
      </c>
      <c r="B11" s="28">
        <v>0</v>
      </c>
      <c r="C11" s="28">
        <v>0</v>
      </c>
      <c r="D11" s="28">
        <v>0</v>
      </c>
      <c r="E11" s="28">
        <v>0</v>
      </c>
    </row>
    <row r="12" spans="1:5" ht="18" customHeight="1">
      <c r="A12" s="29" t="s">
        <v>144</v>
      </c>
      <c r="B12" s="30">
        <v>0</v>
      </c>
      <c r="C12" s="30">
        <v>0</v>
      </c>
      <c r="D12" s="30">
        <v>0</v>
      </c>
      <c r="E12" s="30">
        <v>0</v>
      </c>
    </row>
    <row r="13" spans="1:5" ht="18" customHeight="1">
      <c r="A13" s="27" t="s">
        <v>138</v>
      </c>
      <c r="B13" s="28">
        <v>0</v>
      </c>
      <c r="C13" s="28">
        <v>0</v>
      </c>
      <c r="D13" s="28">
        <v>0</v>
      </c>
      <c r="E13" s="28">
        <v>0</v>
      </c>
    </row>
    <row r="14" spans="1:5" ht="18" customHeight="1">
      <c r="A14" s="29" t="s">
        <v>141</v>
      </c>
      <c r="B14" s="30">
        <v>0</v>
      </c>
      <c r="C14" s="30">
        <v>0</v>
      </c>
      <c r="D14" s="30">
        <v>0</v>
      </c>
      <c r="E14" s="30">
        <v>0</v>
      </c>
    </row>
    <row r="15" spans="1:5" ht="18" customHeight="1"/>
    <row r="16" spans="1:5" ht="27.95" customHeight="1">
      <c r="A16" s="64" t="s">
        <v>1974</v>
      </c>
      <c r="B16" s="64"/>
      <c r="C16" s="64"/>
      <c r="D16" s="64"/>
      <c r="E16" s="64"/>
    </row>
    <row r="17" spans="1:5" ht="20.100000000000001" customHeight="1">
      <c r="A17" s="26" t="s">
        <v>1450</v>
      </c>
      <c r="B17" s="26" t="s">
        <v>1835</v>
      </c>
      <c r="C17" s="26" t="s">
        <v>1836</v>
      </c>
      <c r="D17" s="26" t="s">
        <v>1837</v>
      </c>
      <c r="E17" s="26" t="s">
        <v>1972</v>
      </c>
    </row>
    <row r="18" spans="1:5" ht="18" customHeight="1">
      <c r="A18" s="29" t="s">
        <v>147</v>
      </c>
      <c r="B18" s="30">
        <v>0</v>
      </c>
      <c r="C18" s="30">
        <v>0</v>
      </c>
      <c r="D18" s="30">
        <v>0</v>
      </c>
      <c r="E18" s="30">
        <v>0</v>
      </c>
    </row>
    <row r="19" spans="1:5" ht="18" customHeight="1">
      <c r="A19" s="27" t="s">
        <v>163</v>
      </c>
      <c r="B19" s="28">
        <v>0</v>
      </c>
      <c r="C19" s="28">
        <v>0</v>
      </c>
      <c r="D19" s="28">
        <v>0</v>
      </c>
      <c r="E19" s="28">
        <v>0</v>
      </c>
    </row>
    <row r="20" spans="1:5" ht="18" customHeight="1">
      <c r="A20" s="29" t="s">
        <v>151</v>
      </c>
      <c r="B20" s="30">
        <v>0</v>
      </c>
      <c r="C20" s="30">
        <v>0</v>
      </c>
      <c r="D20" s="30">
        <v>0</v>
      </c>
      <c r="E20" s="30">
        <v>0</v>
      </c>
    </row>
    <row r="21" spans="1:5" ht="18" customHeight="1">
      <c r="A21" s="27" t="s">
        <v>160</v>
      </c>
      <c r="B21" s="28">
        <v>0</v>
      </c>
      <c r="C21" s="28">
        <v>0</v>
      </c>
      <c r="D21" s="28">
        <v>0</v>
      </c>
      <c r="E21" s="28">
        <v>0</v>
      </c>
    </row>
    <row r="22" spans="1:5" ht="18" customHeight="1">
      <c r="A22" s="29" t="s">
        <v>154</v>
      </c>
      <c r="B22" s="30">
        <v>0</v>
      </c>
      <c r="C22" s="30">
        <v>0</v>
      </c>
      <c r="D22" s="30">
        <v>0</v>
      </c>
      <c r="E22" s="30">
        <v>0</v>
      </c>
    </row>
    <row r="23" spans="1:5" ht="18" customHeight="1">
      <c r="A23" s="27" t="s">
        <v>157</v>
      </c>
      <c r="B23" s="28">
        <v>0</v>
      </c>
      <c r="C23" s="28">
        <v>0</v>
      </c>
      <c r="D23" s="28">
        <v>0</v>
      </c>
      <c r="E23" s="28">
        <v>0</v>
      </c>
    </row>
    <row r="25" spans="1:5" ht="27.95" customHeight="1">
      <c r="A25" s="64" t="s">
        <v>1975</v>
      </c>
      <c r="B25" s="64"/>
      <c r="C25" s="64"/>
      <c r="D25" s="64"/>
      <c r="E25" s="64"/>
    </row>
    <row r="26" spans="1:5" ht="20.100000000000001" customHeight="1">
      <c r="A26" s="26" t="s">
        <v>1450</v>
      </c>
      <c r="B26" s="26" t="s">
        <v>1835</v>
      </c>
      <c r="C26" s="26" t="s">
        <v>1836</v>
      </c>
      <c r="D26" s="26" t="s">
        <v>1837</v>
      </c>
      <c r="E26" s="26" t="s">
        <v>1972</v>
      </c>
    </row>
    <row r="27" spans="1:5" ht="18" customHeight="1">
      <c r="A27" s="27" t="s">
        <v>169</v>
      </c>
      <c r="B27" s="28">
        <v>0</v>
      </c>
      <c r="C27" s="28">
        <v>0</v>
      </c>
      <c r="D27" s="28">
        <v>0</v>
      </c>
      <c r="E27" s="28">
        <v>0</v>
      </c>
    </row>
    <row r="28" spans="1:5" ht="18" customHeight="1">
      <c r="A28" s="29" t="s">
        <v>184</v>
      </c>
      <c r="B28" s="30">
        <v>0</v>
      </c>
      <c r="C28" s="30">
        <v>0</v>
      </c>
      <c r="D28" s="30">
        <v>0</v>
      </c>
      <c r="E28" s="30">
        <v>0</v>
      </c>
    </row>
    <row r="29" spans="1:5" ht="18" customHeight="1">
      <c r="A29" s="27" t="s">
        <v>172</v>
      </c>
      <c r="B29" s="28">
        <v>0</v>
      </c>
      <c r="C29" s="28">
        <v>0</v>
      </c>
      <c r="D29" s="28">
        <v>0</v>
      </c>
      <c r="E29" s="28">
        <v>0</v>
      </c>
    </row>
    <row r="30" spans="1:5" ht="18" customHeight="1">
      <c r="A30" s="29" t="s">
        <v>181</v>
      </c>
      <c r="B30" s="30">
        <v>0</v>
      </c>
      <c r="C30" s="30">
        <v>0</v>
      </c>
      <c r="D30" s="30">
        <v>0</v>
      </c>
      <c r="E30" s="30">
        <v>0</v>
      </c>
    </row>
    <row r="31" spans="1:5" ht="18" customHeight="1">
      <c r="A31" s="27" t="s">
        <v>175</v>
      </c>
      <c r="B31" s="28">
        <v>0</v>
      </c>
      <c r="C31" s="28">
        <v>0</v>
      </c>
      <c r="D31" s="28">
        <v>0</v>
      </c>
      <c r="E31" s="28">
        <v>0</v>
      </c>
    </row>
    <row r="32" spans="1:5" ht="18" customHeight="1">
      <c r="A32" s="29" t="s">
        <v>178</v>
      </c>
      <c r="B32" s="30">
        <v>0</v>
      </c>
      <c r="C32" s="30">
        <v>0</v>
      </c>
      <c r="D32" s="30">
        <v>0</v>
      </c>
      <c r="E32" s="30">
        <v>0</v>
      </c>
    </row>
    <row r="33" spans="1:5" ht="18" customHeight="1">
      <c r="A33" s="27" t="s">
        <v>166</v>
      </c>
      <c r="B33" s="28">
        <v>0</v>
      </c>
      <c r="C33" s="28">
        <v>0</v>
      </c>
      <c r="D33" s="28">
        <v>0</v>
      </c>
      <c r="E33" s="28">
        <v>0</v>
      </c>
    </row>
    <row r="34" spans="1:5" ht="20.100000000000001" customHeight="1"/>
    <row r="35" spans="1:5" ht="27.95" customHeight="1">
      <c r="A35" s="64" t="s">
        <v>1976</v>
      </c>
      <c r="B35" s="64"/>
      <c r="C35" s="64"/>
      <c r="D35" s="64"/>
      <c r="E35" s="64"/>
    </row>
    <row r="36" spans="1:5" ht="20.100000000000001" customHeight="1">
      <c r="A36" s="26" t="s">
        <v>1450</v>
      </c>
      <c r="B36" s="26" t="s">
        <v>1835</v>
      </c>
      <c r="C36" s="26" t="s">
        <v>1836</v>
      </c>
      <c r="D36" s="26" t="s">
        <v>1837</v>
      </c>
      <c r="E36" s="26" t="s">
        <v>1972</v>
      </c>
    </row>
    <row r="37" spans="1:5" ht="18" customHeight="1">
      <c r="A37" s="27" t="s">
        <v>187</v>
      </c>
      <c r="B37" s="28">
        <v>0</v>
      </c>
      <c r="C37" s="28">
        <v>0</v>
      </c>
      <c r="D37" s="28">
        <v>0</v>
      </c>
      <c r="E37" s="28">
        <v>0</v>
      </c>
    </row>
    <row r="38" spans="1:5" ht="18" customHeight="1">
      <c r="A38" s="29" t="s">
        <v>207</v>
      </c>
      <c r="B38" s="30">
        <v>0</v>
      </c>
      <c r="C38" s="30">
        <v>0</v>
      </c>
      <c r="D38" s="30">
        <v>0</v>
      </c>
      <c r="E38" s="30">
        <v>0</v>
      </c>
    </row>
    <row r="39" spans="1:5" ht="18" customHeight="1">
      <c r="A39" s="27" t="s">
        <v>191</v>
      </c>
      <c r="B39" s="28">
        <v>0</v>
      </c>
      <c r="C39" s="28">
        <v>0</v>
      </c>
      <c r="D39" s="28">
        <v>0</v>
      </c>
      <c r="E39" s="28">
        <v>0</v>
      </c>
    </row>
    <row r="40" spans="1:5" ht="18" customHeight="1">
      <c r="A40" s="29" t="s">
        <v>204</v>
      </c>
      <c r="B40" s="30">
        <v>0</v>
      </c>
      <c r="C40" s="30">
        <v>0</v>
      </c>
      <c r="D40" s="30">
        <v>0</v>
      </c>
      <c r="E40" s="30">
        <v>0</v>
      </c>
    </row>
    <row r="41" spans="1:5" ht="18" customHeight="1">
      <c r="A41" s="27" t="s">
        <v>194</v>
      </c>
      <c r="B41" s="28">
        <v>0</v>
      </c>
      <c r="C41" s="28">
        <v>0</v>
      </c>
      <c r="D41" s="28">
        <v>0</v>
      </c>
      <c r="E41" s="28">
        <v>0</v>
      </c>
    </row>
    <row r="42" spans="1:5" ht="18" customHeight="1">
      <c r="A42" s="29" t="s">
        <v>201</v>
      </c>
      <c r="B42" s="30">
        <v>0</v>
      </c>
      <c r="C42" s="30">
        <v>0</v>
      </c>
      <c r="D42" s="30">
        <v>0</v>
      </c>
      <c r="E42" s="30">
        <v>0</v>
      </c>
    </row>
    <row r="43" spans="1:5" ht="18" customHeight="1">
      <c r="A43" s="27" t="s">
        <v>195</v>
      </c>
      <c r="B43" s="28">
        <v>0</v>
      </c>
      <c r="C43" s="28">
        <v>0</v>
      </c>
      <c r="D43" s="28">
        <v>0</v>
      </c>
      <c r="E43" s="28">
        <v>0</v>
      </c>
    </row>
    <row r="44" spans="1:5" ht="18" customHeight="1">
      <c r="A44" s="29" t="s">
        <v>198</v>
      </c>
      <c r="B44" s="30">
        <v>0</v>
      </c>
      <c r="C44" s="30">
        <v>0</v>
      </c>
      <c r="D44" s="30">
        <v>0</v>
      </c>
      <c r="E44" s="30">
        <v>0</v>
      </c>
    </row>
    <row r="45" spans="1:5" ht="18" customHeight="1"/>
    <row r="46" spans="1:5" ht="27.95" customHeight="1">
      <c r="A46" s="64" t="s">
        <v>1977</v>
      </c>
      <c r="B46" s="64"/>
      <c r="C46" s="64"/>
      <c r="D46" s="64"/>
      <c r="E46" s="64"/>
    </row>
    <row r="47" spans="1:5" ht="20.100000000000001" customHeight="1">
      <c r="A47" s="26" t="s">
        <v>1450</v>
      </c>
      <c r="B47" s="26" t="s">
        <v>1835</v>
      </c>
      <c r="C47" s="26" t="s">
        <v>1836</v>
      </c>
      <c r="D47" s="26" t="s">
        <v>1837</v>
      </c>
      <c r="E47" s="26" t="s">
        <v>1972</v>
      </c>
    </row>
    <row r="48" spans="1:5" ht="18" customHeight="1">
      <c r="A48" s="29" t="s">
        <v>213</v>
      </c>
      <c r="B48" s="30">
        <v>0</v>
      </c>
      <c r="C48" s="30">
        <v>0</v>
      </c>
      <c r="D48" s="30">
        <v>0</v>
      </c>
      <c r="E48" s="30">
        <v>0</v>
      </c>
    </row>
    <row r="49" spans="1:5" ht="18" customHeight="1">
      <c r="A49" s="27" t="s">
        <v>227</v>
      </c>
      <c r="B49" s="28">
        <v>0</v>
      </c>
      <c r="C49" s="28">
        <v>0</v>
      </c>
      <c r="D49" s="28">
        <v>0</v>
      </c>
      <c r="E49" s="28">
        <v>0</v>
      </c>
    </row>
    <row r="50" spans="1:5" ht="18" customHeight="1">
      <c r="A50" s="29" t="s">
        <v>216</v>
      </c>
      <c r="B50" s="30">
        <v>0</v>
      </c>
      <c r="C50" s="30">
        <v>0</v>
      </c>
      <c r="D50" s="30">
        <v>0</v>
      </c>
      <c r="E50" s="30">
        <v>0</v>
      </c>
    </row>
    <row r="51" spans="1:5" ht="18" customHeight="1">
      <c r="A51" s="27" t="s">
        <v>225</v>
      </c>
      <c r="B51" s="28">
        <v>0</v>
      </c>
      <c r="C51" s="28">
        <v>0</v>
      </c>
      <c r="D51" s="28">
        <v>0</v>
      </c>
      <c r="E51" s="28">
        <v>0</v>
      </c>
    </row>
    <row r="52" spans="1:5" ht="18" customHeight="1">
      <c r="A52" s="29" t="s">
        <v>219</v>
      </c>
      <c r="B52" s="30">
        <v>0</v>
      </c>
      <c r="C52" s="30">
        <v>0</v>
      </c>
      <c r="D52" s="30">
        <v>0</v>
      </c>
      <c r="E52" s="30">
        <v>0</v>
      </c>
    </row>
    <row r="53" spans="1:5" ht="18" customHeight="1">
      <c r="A53" s="27" t="s">
        <v>222</v>
      </c>
      <c r="B53" s="28">
        <v>0</v>
      </c>
      <c r="C53" s="28">
        <v>0</v>
      </c>
      <c r="D53" s="28">
        <v>0</v>
      </c>
      <c r="E53" s="28">
        <v>0</v>
      </c>
    </row>
    <row r="54" spans="1:5" ht="18" customHeight="1">
      <c r="A54" s="29" t="s">
        <v>210</v>
      </c>
      <c r="B54" s="30">
        <v>0</v>
      </c>
      <c r="C54" s="30">
        <v>0</v>
      </c>
      <c r="D54" s="30">
        <v>0</v>
      </c>
      <c r="E54" s="30">
        <v>0</v>
      </c>
    </row>
    <row r="56" spans="1:5" ht="27.95" customHeight="1">
      <c r="A56" s="64" t="s">
        <v>1978</v>
      </c>
      <c r="B56" s="64"/>
      <c r="C56" s="64"/>
      <c r="D56" s="64"/>
      <c r="E56" s="64"/>
    </row>
    <row r="57" spans="1:5" ht="20.100000000000001" customHeight="1">
      <c r="A57" s="26" t="s">
        <v>1450</v>
      </c>
      <c r="B57" s="26" t="s">
        <v>1835</v>
      </c>
      <c r="C57" s="26" t="s">
        <v>1836</v>
      </c>
      <c r="D57" s="26" t="s">
        <v>1837</v>
      </c>
      <c r="E57" s="26" t="s">
        <v>1972</v>
      </c>
    </row>
    <row r="58" spans="1:5" ht="18" customHeight="1">
      <c r="A58" s="29" t="s">
        <v>230</v>
      </c>
      <c r="B58" s="30">
        <v>0</v>
      </c>
      <c r="C58" s="30">
        <v>0</v>
      </c>
      <c r="D58" s="30">
        <v>0</v>
      </c>
      <c r="E58" s="30">
        <v>0</v>
      </c>
    </row>
    <row r="59" spans="1:5" ht="18" customHeight="1">
      <c r="A59" s="27" t="s">
        <v>240</v>
      </c>
      <c r="B59" s="28">
        <v>0</v>
      </c>
      <c r="C59" s="28">
        <v>0</v>
      </c>
      <c r="D59" s="28">
        <v>0</v>
      </c>
      <c r="E59" s="28">
        <v>0</v>
      </c>
    </row>
    <row r="60" spans="1:5" ht="18" customHeight="1">
      <c r="A60" s="29" t="s">
        <v>234</v>
      </c>
      <c r="B60" s="30">
        <v>0</v>
      </c>
      <c r="C60" s="30">
        <v>0</v>
      </c>
      <c r="D60" s="30">
        <v>0</v>
      </c>
      <c r="E60" s="30">
        <v>0</v>
      </c>
    </row>
    <row r="61" spans="1:5" ht="18" customHeight="1">
      <c r="A61" s="27" t="s">
        <v>237</v>
      </c>
      <c r="B61" s="28">
        <v>0</v>
      </c>
      <c r="C61" s="28">
        <v>0</v>
      </c>
      <c r="D61" s="28">
        <v>0</v>
      </c>
      <c r="E61" s="28">
        <v>0</v>
      </c>
    </row>
    <row r="63" spans="1:5" ht="27.95" customHeight="1">
      <c r="A63" s="64" t="s">
        <v>1979</v>
      </c>
      <c r="B63" s="64"/>
      <c r="C63" s="64"/>
      <c r="D63" s="64"/>
      <c r="E63" s="64"/>
    </row>
    <row r="64" spans="1:5" ht="20.100000000000001" customHeight="1">
      <c r="A64" s="26" t="s">
        <v>1450</v>
      </c>
      <c r="B64" s="26" t="s">
        <v>1835</v>
      </c>
      <c r="C64" s="26" t="s">
        <v>1836</v>
      </c>
      <c r="D64" s="26" t="s">
        <v>1837</v>
      </c>
      <c r="E64" s="26" t="s">
        <v>1972</v>
      </c>
    </row>
    <row r="65" spans="1:5" ht="18" customHeight="1">
      <c r="A65" s="27" t="s">
        <v>243</v>
      </c>
      <c r="B65" s="28">
        <v>0</v>
      </c>
      <c r="C65" s="28">
        <v>0</v>
      </c>
      <c r="D65" s="28">
        <v>0</v>
      </c>
      <c r="E65" s="28">
        <v>0</v>
      </c>
    </row>
    <row r="66" spans="1:5" ht="18" customHeight="1">
      <c r="A66" s="29" t="s">
        <v>269</v>
      </c>
      <c r="B66" s="30">
        <v>0</v>
      </c>
      <c r="C66" s="30">
        <v>0</v>
      </c>
      <c r="D66" s="30">
        <v>0</v>
      </c>
      <c r="E66" s="30">
        <v>0</v>
      </c>
    </row>
    <row r="67" spans="1:5" ht="18" customHeight="1">
      <c r="A67" s="27" t="s">
        <v>247</v>
      </c>
      <c r="B67" s="28">
        <v>0</v>
      </c>
      <c r="C67" s="28">
        <v>0</v>
      </c>
      <c r="D67" s="28">
        <v>0</v>
      </c>
      <c r="E67" s="28">
        <v>0</v>
      </c>
    </row>
    <row r="68" spans="1:5" ht="18" customHeight="1">
      <c r="A68" s="29" t="s">
        <v>266</v>
      </c>
      <c r="B68" s="30">
        <v>0</v>
      </c>
      <c r="C68" s="30">
        <v>0</v>
      </c>
      <c r="D68" s="30">
        <v>0</v>
      </c>
      <c r="E68" s="30">
        <v>0</v>
      </c>
    </row>
    <row r="69" spans="1:5" ht="18" customHeight="1">
      <c r="A69" s="27" t="s">
        <v>250</v>
      </c>
      <c r="B69" s="28">
        <v>0</v>
      </c>
      <c r="C69" s="28">
        <v>0</v>
      </c>
      <c r="D69" s="28">
        <v>0</v>
      </c>
      <c r="E69" s="28">
        <v>0</v>
      </c>
    </row>
    <row r="70" spans="1:5" ht="18" customHeight="1">
      <c r="A70" s="29" t="s">
        <v>263</v>
      </c>
      <c r="B70" s="30">
        <v>0</v>
      </c>
      <c r="C70" s="30">
        <v>0</v>
      </c>
      <c r="D70" s="30">
        <v>0</v>
      </c>
      <c r="E70" s="30">
        <v>0</v>
      </c>
    </row>
    <row r="71" spans="1:5" ht="18" customHeight="1">
      <c r="A71" s="27" t="s">
        <v>253</v>
      </c>
      <c r="B71" s="28">
        <v>0</v>
      </c>
      <c r="C71" s="28">
        <v>0</v>
      </c>
      <c r="D71" s="28">
        <v>0</v>
      </c>
      <c r="E71" s="28">
        <v>0</v>
      </c>
    </row>
    <row r="72" spans="1:5" ht="18" customHeight="1">
      <c r="A72" s="29" t="s">
        <v>262</v>
      </c>
      <c r="B72" s="30">
        <v>0</v>
      </c>
      <c r="C72" s="30">
        <v>0</v>
      </c>
      <c r="D72" s="30">
        <v>0</v>
      </c>
      <c r="E72" s="30">
        <v>0</v>
      </c>
    </row>
    <row r="73" spans="1:5" ht="18" customHeight="1">
      <c r="A73" s="27" t="s">
        <v>256</v>
      </c>
      <c r="B73" s="28">
        <v>0</v>
      </c>
      <c r="C73" s="28">
        <v>0</v>
      </c>
      <c r="D73" s="28">
        <v>0</v>
      </c>
      <c r="E73" s="28">
        <v>0</v>
      </c>
    </row>
    <row r="74" spans="1:5" ht="18" customHeight="1">
      <c r="A74" s="29" t="s">
        <v>259</v>
      </c>
      <c r="B74" s="30">
        <v>0</v>
      </c>
      <c r="C74" s="30">
        <v>0</v>
      </c>
      <c r="D74" s="30">
        <v>0</v>
      </c>
      <c r="E74" s="30">
        <v>0</v>
      </c>
    </row>
    <row r="75" spans="1:5" ht="18" customHeight="1"/>
    <row r="76" spans="1:5" ht="27.95" customHeight="1">
      <c r="A76" s="64" t="s">
        <v>1980</v>
      </c>
      <c r="B76" s="64"/>
      <c r="C76" s="64"/>
      <c r="D76" s="64"/>
      <c r="E76" s="64"/>
    </row>
    <row r="77" spans="1:5" ht="20.100000000000001" customHeight="1">
      <c r="A77" s="26" t="s">
        <v>1450</v>
      </c>
      <c r="B77" s="26" t="s">
        <v>1835</v>
      </c>
      <c r="C77" s="26" t="s">
        <v>1836</v>
      </c>
      <c r="D77" s="26" t="s">
        <v>1837</v>
      </c>
      <c r="E77" s="26" t="s">
        <v>1972</v>
      </c>
    </row>
    <row r="78" spans="1:5" ht="18" customHeight="1">
      <c r="A78" s="29" t="s">
        <v>47</v>
      </c>
      <c r="B78" s="30">
        <v>0</v>
      </c>
      <c r="C78" s="30">
        <v>0</v>
      </c>
      <c r="D78" s="30">
        <v>0</v>
      </c>
      <c r="E78" s="30">
        <v>0</v>
      </c>
    </row>
    <row r="79" spans="1:5" ht="18" customHeight="1">
      <c r="A79" s="27" t="s">
        <v>40</v>
      </c>
      <c r="B79" s="28">
        <v>0</v>
      </c>
      <c r="C79" s="28">
        <v>0</v>
      </c>
      <c r="D79" s="28">
        <v>0</v>
      </c>
      <c r="E79" s="28">
        <v>0</v>
      </c>
    </row>
    <row r="80" spans="1:5" ht="18" customHeight="1">
      <c r="A80" s="29" t="s">
        <v>79</v>
      </c>
      <c r="B80" s="30">
        <v>0</v>
      </c>
      <c r="C80" s="30">
        <v>0</v>
      </c>
      <c r="D80" s="30">
        <v>0</v>
      </c>
      <c r="E80" s="30">
        <v>0</v>
      </c>
    </row>
    <row r="81" spans="1:5" ht="18" customHeight="1">
      <c r="A81" s="27" t="s">
        <v>49</v>
      </c>
      <c r="B81" s="28">
        <v>0</v>
      </c>
      <c r="C81" s="28">
        <v>0</v>
      </c>
      <c r="D81" s="28">
        <v>0</v>
      </c>
      <c r="E81" s="28">
        <v>0</v>
      </c>
    </row>
    <row r="82" spans="1:5" ht="18" customHeight="1">
      <c r="A82" s="29" t="s">
        <v>94</v>
      </c>
      <c r="B82" s="30">
        <v>0</v>
      </c>
      <c r="C82" s="30">
        <v>0</v>
      </c>
      <c r="D82" s="30">
        <v>0</v>
      </c>
      <c r="E82" s="30">
        <v>0</v>
      </c>
    </row>
    <row r="83" spans="1:5" ht="18" customHeight="1">
      <c r="A83" s="27" t="s">
        <v>35</v>
      </c>
      <c r="B83" s="28">
        <v>0</v>
      </c>
      <c r="C83" s="28">
        <v>0</v>
      </c>
      <c r="D83" s="28">
        <v>0</v>
      </c>
      <c r="E83" s="28">
        <v>0</v>
      </c>
    </row>
    <row r="84" spans="1:5" ht="18" customHeight="1"/>
    <row r="85" spans="1:5" ht="27.95" customHeight="1">
      <c r="A85" s="64" t="s">
        <v>1981</v>
      </c>
      <c r="B85" s="64"/>
      <c r="C85" s="64"/>
      <c r="D85" s="64"/>
      <c r="E85" s="64"/>
    </row>
    <row r="86" spans="1:5" ht="20.100000000000001" customHeight="1">
      <c r="A86" s="26" t="s">
        <v>1450</v>
      </c>
      <c r="B86" s="26" t="s">
        <v>1835</v>
      </c>
      <c r="C86" s="26" t="s">
        <v>1836</v>
      </c>
      <c r="D86" s="26" t="s">
        <v>1837</v>
      </c>
      <c r="E86" s="26" t="s">
        <v>1972</v>
      </c>
    </row>
    <row r="87" spans="1:5" ht="18" customHeight="1">
      <c r="A87" s="27" t="s">
        <v>31</v>
      </c>
      <c r="B87" s="28">
        <v>0</v>
      </c>
      <c r="C87" s="28">
        <v>0</v>
      </c>
      <c r="D87" s="28">
        <v>0</v>
      </c>
      <c r="E87" s="28">
        <v>0</v>
      </c>
    </row>
    <row r="88" spans="1:5" ht="18" customHeight="1">
      <c r="A88" s="29" t="s">
        <v>26</v>
      </c>
      <c r="B88" s="30">
        <v>0</v>
      </c>
      <c r="C88" s="30">
        <v>0</v>
      </c>
      <c r="D88" s="30">
        <v>0</v>
      </c>
      <c r="E88" s="30">
        <v>0</v>
      </c>
    </row>
    <row r="89" spans="1:5" ht="18" customHeight="1">
      <c r="A89" s="27" t="s">
        <v>57</v>
      </c>
      <c r="B89" s="28">
        <v>0</v>
      </c>
      <c r="C89" s="28">
        <v>0</v>
      </c>
      <c r="D89" s="28">
        <v>0</v>
      </c>
      <c r="E89" s="28">
        <v>0</v>
      </c>
    </row>
    <row r="90" spans="1:5" ht="18" customHeight="1">
      <c r="A90" s="29" t="s">
        <v>29</v>
      </c>
      <c r="B90" s="30">
        <v>0</v>
      </c>
      <c r="C90" s="30">
        <v>0</v>
      </c>
      <c r="D90" s="30">
        <v>0</v>
      </c>
      <c r="E90" s="30">
        <v>0</v>
      </c>
    </row>
    <row r="91" spans="1:5" ht="18" customHeight="1">
      <c r="A91" s="27" t="s">
        <v>77</v>
      </c>
      <c r="B91" s="28">
        <v>0</v>
      </c>
      <c r="C91" s="28">
        <v>0</v>
      </c>
      <c r="D91" s="28">
        <v>0</v>
      </c>
      <c r="E91" s="28">
        <v>0</v>
      </c>
    </row>
    <row r="92" spans="1:5" ht="18" customHeight="1">
      <c r="A92" s="29" t="s">
        <v>85</v>
      </c>
      <c r="B92" s="30">
        <v>0</v>
      </c>
      <c r="C92" s="30">
        <v>0</v>
      </c>
      <c r="D92" s="30">
        <v>0</v>
      </c>
      <c r="E92" s="30">
        <v>0</v>
      </c>
    </row>
    <row r="93" spans="1:5" ht="18" customHeight="1">
      <c r="A93" s="27" t="s">
        <v>60</v>
      </c>
      <c r="B93" s="28">
        <v>0</v>
      </c>
      <c r="C93" s="28">
        <v>0</v>
      </c>
      <c r="D93" s="28">
        <v>0</v>
      </c>
      <c r="E93" s="28">
        <v>0</v>
      </c>
    </row>
    <row r="94" spans="1:5" ht="18" customHeight="1">
      <c r="A94" s="29" t="s">
        <v>18</v>
      </c>
      <c r="B94" s="30">
        <v>0</v>
      </c>
      <c r="C94" s="30">
        <v>0</v>
      </c>
      <c r="D94" s="30">
        <v>0</v>
      </c>
      <c r="E94" s="30">
        <v>0</v>
      </c>
    </row>
    <row r="95" spans="1:5" ht="18" customHeight="1">
      <c r="A95" s="27" t="s">
        <v>53</v>
      </c>
      <c r="B95" s="28">
        <v>0</v>
      </c>
      <c r="C95" s="28">
        <v>0</v>
      </c>
      <c r="D95" s="28">
        <v>0</v>
      </c>
      <c r="E95" s="28">
        <v>0</v>
      </c>
    </row>
    <row r="96" spans="1:5" ht="18" customHeight="1">
      <c r="A96" s="29" t="s">
        <v>74</v>
      </c>
      <c r="B96" s="30">
        <v>0</v>
      </c>
      <c r="C96" s="30">
        <v>0</v>
      </c>
      <c r="D96" s="30">
        <v>0</v>
      </c>
      <c r="E96" s="30">
        <v>0</v>
      </c>
    </row>
    <row r="98" spans="1:5" ht="27.95" customHeight="1">
      <c r="A98" s="64" t="s">
        <v>1982</v>
      </c>
      <c r="B98" s="64"/>
      <c r="C98" s="64"/>
      <c r="D98" s="64"/>
      <c r="E98" s="64"/>
    </row>
    <row r="99" spans="1:5" ht="20.100000000000001" customHeight="1">
      <c r="A99" s="26" t="s">
        <v>1450</v>
      </c>
      <c r="B99" s="26" t="s">
        <v>1835</v>
      </c>
      <c r="C99" s="26" t="s">
        <v>1836</v>
      </c>
      <c r="D99" s="26" t="s">
        <v>1837</v>
      </c>
      <c r="E99" s="26" t="s">
        <v>1972</v>
      </c>
    </row>
    <row r="100" spans="1:5" ht="18" customHeight="1">
      <c r="A100" s="29" t="s">
        <v>44</v>
      </c>
      <c r="B100" s="30">
        <v>0</v>
      </c>
      <c r="C100" s="30">
        <v>0</v>
      </c>
      <c r="D100" s="30">
        <v>0</v>
      </c>
      <c r="E100" s="30">
        <v>0</v>
      </c>
    </row>
    <row r="101" spans="1:5" ht="18" customHeight="1">
      <c r="A101" s="27" t="s">
        <v>40</v>
      </c>
      <c r="B101" s="28">
        <v>0</v>
      </c>
      <c r="C101" s="28">
        <v>0</v>
      </c>
      <c r="D101" s="28">
        <v>0</v>
      </c>
      <c r="E101" s="28">
        <v>0</v>
      </c>
    </row>
    <row r="102" spans="1:5" ht="18" customHeight="1">
      <c r="A102" s="29" t="s">
        <v>70</v>
      </c>
      <c r="B102" s="30">
        <v>0</v>
      </c>
      <c r="C102" s="30">
        <v>0</v>
      </c>
      <c r="D102" s="30">
        <v>0</v>
      </c>
      <c r="E102" s="30">
        <v>0</v>
      </c>
    </row>
    <row r="103" spans="1:5" ht="18" customHeight="1">
      <c r="A103" s="27" t="s">
        <v>22</v>
      </c>
      <c r="B103" s="28">
        <v>0</v>
      </c>
      <c r="C103" s="28">
        <v>0</v>
      </c>
      <c r="D103" s="28">
        <v>0</v>
      </c>
      <c r="E103" s="28">
        <v>0</v>
      </c>
    </row>
    <row r="104" spans="1:5" ht="18" customHeight="1">
      <c r="A104" s="29" t="s">
        <v>15</v>
      </c>
      <c r="B104" s="30">
        <v>0</v>
      </c>
      <c r="C104" s="30">
        <v>0</v>
      </c>
      <c r="D104" s="30">
        <v>0</v>
      </c>
      <c r="E104" s="30">
        <v>0</v>
      </c>
    </row>
    <row r="105" spans="1:5" ht="18" customHeight="1">
      <c r="A105" s="27" t="s">
        <v>66</v>
      </c>
      <c r="B105" s="28">
        <v>0</v>
      </c>
      <c r="C105" s="28">
        <v>0</v>
      </c>
      <c r="D105" s="28">
        <v>0</v>
      </c>
      <c r="E105" s="28">
        <v>0</v>
      </c>
    </row>
    <row r="106" spans="1:5" ht="18" customHeight="1">
      <c r="A106" s="29" t="s">
        <v>63</v>
      </c>
      <c r="B106" s="30">
        <v>0</v>
      </c>
      <c r="C106" s="30">
        <v>0</v>
      </c>
      <c r="D106" s="30">
        <v>0</v>
      </c>
      <c r="E106" s="30">
        <v>0</v>
      </c>
    </row>
    <row r="107" spans="1:5" ht="18" customHeight="1">
      <c r="A107" s="27" t="s">
        <v>88</v>
      </c>
      <c r="B107" s="28">
        <v>0</v>
      </c>
      <c r="C107" s="28">
        <v>0</v>
      </c>
      <c r="D107" s="28">
        <v>0</v>
      </c>
      <c r="E107" s="28">
        <v>0</v>
      </c>
    </row>
    <row r="108" spans="1:5" ht="18" customHeight="1">
      <c r="A108" s="29" t="s">
        <v>98</v>
      </c>
      <c r="B108" s="30">
        <v>0</v>
      </c>
      <c r="C108" s="30">
        <v>0</v>
      </c>
      <c r="D108" s="30">
        <v>0</v>
      </c>
      <c r="E108" s="30">
        <v>0</v>
      </c>
    </row>
    <row r="109" spans="1:5" ht="18" customHeight="1">
      <c r="A109" s="27" t="s">
        <v>82</v>
      </c>
      <c r="B109" s="28">
        <v>0</v>
      </c>
      <c r="C109" s="28">
        <v>0</v>
      </c>
      <c r="D109" s="28">
        <v>0</v>
      </c>
      <c r="E109" s="28">
        <v>0</v>
      </c>
    </row>
    <row r="110" spans="1:5" ht="18" customHeight="1">
      <c r="A110" s="29" t="s">
        <v>91</v>
      </c>
      <c r="B110" s="30">
        <v>0</v>
      </c>
      <c r="C110" s="30">
        <v>0</v>
      </c>
      <c r="D110" s="30">
        <v>0</v>
      </c>
      <c r="E110" s="30">
        <v>0</v>
      </c>
    </row>
    <row r="112" spans="1:5" ht="27.95" customHeight="1">
      <c r="A112" s="64" t="s">
        <v>1983</v>
      </c>
      <c r="B112" s="64"/>
      <c r="C112" s="64"/>
      <c r="D112" s="64"/>
      <c r="E112" s="64"/>
    </row>
    <row r="113" spans="1:5" ht="20.100000000000001" customHeight="1">
      <c r="A113" s="26" t="s">
        <v>1450</v>
      </c>
      <c r="B113" s="26" t="s">
        <v>1835</v>
      </c>
      <c r="C113" s="26" t="s">
        <v>1836</v>
      </c>
      <c r="D113" s="26" t="s">
        <v>1837</v>
      </c>
      <c r="E113" s="26" t="s">
        <v>1972</v>
      </c>
    </row>
    <row r="114" spans="1:5" ht="18" customHeight="1">
      <c r="A114" s="29" t="s">
        <v>105</v>
      </c>
      <c r="B114" s="30">
        <v>0</v>
      </c>
      <c r="C114" s="30">
        <v>0</v>
      </c>
      <c r="D114" s="30">
        <v>0</v>
      </c>
      <c r="E114" s="30">
        <v>0</v>
      </c>
    </row>
    <row r="115" spans="1:5" ht="18" customHeight="1">
      <c r="A115" s="27" t="s">
        <v>296</v>
      </c>
      <c r="B115" s="28">
        <v>0</v>
      </c>
      <c r="C115" s="28">
        <v>0</v>
      </c>
      <c r="D115" s="28">
        <v>0</v>
      </c>
      <c r="E115" s="28">
        <v>0</v>
      </c>
    </row>
    <row r="116" spans="1:5" ht="18" customHeight="1">
      <c r="A116" s="29" t="s">
        <v>275</v>
      </c>
      <c r="B116" s="30">
        <v>0</v>
      </c>
      <c r="C116" s="30">
        <v>0</v>
      </c>
      <c r="D116" s="30">
        <v>0</v>
      </c>
      <c r="E116" s="30">
        <v>0</v>
      </c>
    </row>
    <row r="117" spans="1:5" ht="18" customHeight="1">
      <c r="A117" s="27" t="s">
        <v>293</v>
      </c>
      <c r="B117" s="28">
        <v>0</v>
      </c>
      <c r="C117" s="28">
        <v>0</v>
      </c>
      <c r="D117" s="28">
        <v>0</v>
      </c>
      <c r="E117" s="28">
        <v>0</v>
      </c>
    </row>
    <row r="118" spans="1:5" ht="18" customHeight="1">
      <c r="A118" s="29" t="s">
        <v>113</v>
      </c>
      <c r="B118" s="30">
        <v>0</v>
      </c>
      <c r="C118" s="30">
        <v>0</v>
      </c>
      <c r="D118" s="30">
        <v>0</v>
      </c>
      <c r="E118" s="30">
        <v>0</v>
      </c>
    </row>
    <row r="119" spans="1:5" ht="18" customHeight="1">
      <c r="A119" s="27" t="s">
        <v>116</v>
      </c>
      <c r="B119" s="28">
        <v>0</v>
      </c>
      <c r="C119" s="28">
        <v>0</v>
      </c>
      <c r="D119" s="28">
        <v>0</v>
      </c>
      <c r="E119" s="28">
        <v>0</v>
      </c>
    </row>
  </sheetData>
  <sortState xmlns:xlrd2="http://schemas.microsoft.com/office/spreadsheetml/2017/richdata2" ref="A114:E119">
    <sortCondition ref="E114"/>
    <sortCondition ref="C114"/>
  </sortState>
  <mergeCells count="12">
    <mergeCell ref="A25:E25"/>
    <mergeCell ref="A1:E1"/>
    <mergeCell ref="A9:E9"/>
    <mergeCell ref="A16:E16"/>
    <mergeCell ref="A85:E85"/>
    <mergeCell ref="A98:E98"/>
    <mergeCell ref="A112:E112"/>
    <mergeCell ref="A35:E35"/>
    <mergeCell ref="A46:E46"/>
    <mergeCell ref="A56:E56"/>
    <mergeCell ref="A63:E63"/>
    <mergeCell ref="A76:E76"/>
  </mergeCells>
  <pageMargins left="0.7" right="0.7" top="0.75" bottom="0.75" header="0.3" footer="0.3"/>
  <pageSetup paperSize="9" scale="90" fitToHeight="0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1">
    <pageSetUpPr fitToPage="1"/>
  </sheetPr>
  <dimension ref="A1:A14"/>
  <sheetViews>
    <sheetView workbookViewId="0">
      <selection activeCell="N13" sqref="N13"/>
    </sheetView>
  </sheetViews>
  <sheetFormatPr baseColWidth="10" defaultRowHeight="15"/>
  <cols>
    <col min="1" max="1" width="12.7109375" customWidth="1"/>
    <col min="2" max="2" width="45.7109375" customWidth="1"/>
    <col min="3" max="3" width="12.7109375" customWidth="1"/>
    <col min="8" max="8" width="19.140625" customWidth="1"/>
  </cols>
  <sheetData>
    <row r="1" ht="36" customHeight="1"/>
    <row r="2" ht="21.95" customHeight="1"/>
    <row r="3" ht="18" customHeight="1"/>
    <row r="4" ht="18" customHeight="1"/>
    <row r="5" ht="18" customHeight="1"/>
    <row r="6" ht="18" customHeight="1"/>
    <row r="7" ht="18" customHeight="1"/>
    <row r="8" ht="36" customHeight="1"/>
    <row r="9" ht="21.95" customHeight="1"/>
    <row r="10" ht="18" customHeight="1"/>
    <row r="11" ht="18" customHeight="1"/>
    <row r="12" ht="18" customHeight="1"/>
    <row r="13" ht="18" customHeight="1"/>
    <row r="14" ht="18" customHeight="1"/>
  </sheetData>
  <sortState xmlns:xlrd2="http://schemas.microsoft.com/office/spreadsheetml/2017/richdata2" ref="B3:C7">
    <sortCondition descending="1" ref="C3"/>
  </sortState>
  <pageMargins left="0.7" right="0.7" top="0.75" bottom="0.75" header="0.3" footer="0.3"/>
  <pageSetup paperSize="9" fitToHeight="0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4">
    <pageSetUpPr fitToPage="1"/>
  </sheetPr>
  <dimension ref="A1:J88"/>
  <sheetViews>
    <sheetView workbookViewId="0">
      <selection activeCell="R1" sqref="R1"/>
    </sheetView>
  </sheetViews>
  <sheetFormatPr baseColWidth="10" defaultColWidth="9.140625" defaultRowHeight="15"/>
  <cols>
    <col min="1" max="1" width="4.140625" bestFit="1" customWidth="1"/>
    <col min="2" max="2" width="45" bestFit="1" customWidth="1"/>
    <col min="3" max="3" width="3.140625" bestFit="1" customWidth="1"/>
    <col min="4" max="4" width="3.28515625" bestFit="1" customWidth="1"/>
    <col min="5" max="5" width="3.140625" bestFit="1" customWidth="1"/>
    <col min="6" max="6" width="3.28515625" bestFit="1" customWidth="1"/>
    <col min="7" max="7" width="3" bestFit="1" customWidth="1"/>
    <col min="8" max="9" width="3.28515625" bestFit="1" customWidth="1"/>
    <col min="10" max="10" width="5.7109375" bestFit="1" customWidth="1"/>
  </cols>
  <sheetData>
    <row r="1" spans="1:10" ht="21.95" customHeight="1">
      <c r="A1" s="65" t="s">
        <v>1843</v>
      </c>
      <c r="B1" s="66"/>
      <c r="C1" s="66"/>
      <c r="D1" s="66"/>
      <c r="E1" s="66"/>
      <c r="F1" s="66"/>
      <c r="G1" s="66"/>
      <c r="H1" s="66"/>
      <c r="I1" s="66"/>
      <c r="J1" s="66"/>
    </row>
    <row r="2" spans="1:10" ht="20.100000000000001" customHeight="1">
      <c r="A2" s="11" t="s">
        <v>1844</v>
      </c>
      <c r="B2" s="11" t="s">
        <v>1450</v>
      </c>
      <c r="C2" s="11" t="s">
        <v>1835</v>
      </c>
      <c r="D2" s="11" t="s">
        <v>1845</v>
      </c>
      <c r="E2" s="11" t="s">
        <v>1846</v>
      </c>
      <c r="F2" s="11" t="s">
        <v>1847</v>
      </c>
      <c r="G2" s="11" t="s">
        <v>1848</v>
      </c>
      <c r="H2" s="11" t="s">
        <v>1849</v>
      </c>
      <c r="I2" s="11" t="s">
        <v>1850</v>
      </c>
      <c r="J2" s="11" t="s">
        <v>1851</v>
      </c>
    </row>
    <row r="3" spans="1:10">
      <c r="A3" s="12" t="s">
        <v>1852</v>
      </c>
      <c r="B3" s="13" t="s">
        <v>123</v>
      </c>
      <c r="C3" s="12">
        <v>1</v>
      </c>
      <c r="D3" s="12">
        <v>1</v>
      </c>
      <c r="E3" s="12">
        <v>0</v>
      </c>
      <c r="F3" s="12">
        <v>0</v>
      </c>
      <c r="G3" s="12">
        <v>3</v>
      </c>
      <c r="H3" s="12">
        <v>1</v>
      </c>
      <c r="I3" s="12">
        <v>2</v>
      </c>
      <c r="J3" s="12">
        <v>3</v>
      </c>
    </row>
    <row r="4" spans="1:10">
      <c r="A4" s="14" t="s">
        <v>1853</v>
      </c>
      <c r="B4" s="15" t="s">
        <v>1838</v>
      </c>
      <c r="C4" s="14">
        <v>1</v>
      </c>
      <c r="D4" s="14">
        <v>1</v>
      </c>
      <c r="E4" s="14">
        <v>0</v>
      </c>
      <c r="F4" s="14">
        <v>0</v>
      </c>
      <c r="G4" s="14">
        <v>2</v>
      </c>
      <c r="H4" s="14">
        <v>0</v>
      </c>
      <c r="I4" s="14">
        <v>2</v>
      </c>
      <c r="J4" s="14">
        <v>3</v>
      </c>
    </row>
    <row r="5" spans="1:10">
      <c r="A5" s="9" t="s">
        <v>1854</v>
      </c>
      <c r="B5" s="10" t="s">
        <v>119</v>
      </c>
      <c r="C5" s="9">
        <v>0</v>
      </c>
      <c r="D5" s="9">
        <v>0</v>
      </c>
      <c r="E5" s="9">
        <v>0</v>
      </c>
      <c r="F5" s="9">
        <v>0</v>
      </c>
      <c r="G5" s="9">
        <v>0</v>
      </c>
      <c r="H5" s="9">
        <v>0</v>
      </c>
      <c r="I5" s="9">
        <v>0</v>
      </c>
      <c r="J5" s="9">
        <v>0</v>
      </c>
    </row>
    <row r="6" spans="1:10">
      <c r="A6" s="9" t="s">
        <v>1855</v>
      </c>
      <c r="B6" s="10" t="s">
        <v>126</v>
      </c>
      <c r="C6" s="9">
        <v>1</v>
      </c>
      <c r="D6" s="9">
        <v>0</v>
      </c>
      <c r="E6" s="9">
        <v>0</v>
      </c>
      <c r="F6" s="9">
        <v>1</v>
      </c>
      <c r="G6" s="9">
        <v>1</v>
      </c>
      <c r="H6" s="9">
        <v>3</v>
      </c>
      <c r="I6" s="9">
        <v>-2</v>
      </c>
      <c r="J6" s="9">
        <v>0</v>
      </c>
    </row>
    <row r="7" spans="1:10">
      <c r="A7" s="16" t="s">
        <v>1856</v>
      </c>
      <c r="B7" s="17" t="s">
        <v>408</v>
      </c>
      <c r="C7" s="16">
        <v>1</v>
      </c>
      <c r="D7" s="16">
        <v>0</v>
      </c>
      <c r="E7" s="16">
        <v>0</v>
      </c>
      <c r="F7" s="16">
        <v>1</v>
      </c>
      <c r="G7" s="16">
        <v>0</v>
      </c>
      <c r="H7" s="16">
        <v>2</v>
      </c>
      <c r="I7" s="16">
        <v>-2</v>
      </c>
      <c r="J7" s="16">
        <v>0</v>
      </c>
    </row>
    <row r="8" spans="1:10" ht="22.15" customHeight="1"/>
    <row r="9" spans="1:10" ht="21.95" customHeight="1">
      <c r="A9" s="65" t="s">
        <v>1857</v>
      </c>
      <c r="B9" s="66"/>
      <c r="C9" s="66"/>
      <c r="D9" s="66"/>
      <c r="E9" s="66"/>
      <c r="F9" s="66"/>
      <c r="G9" s="66"/>
      <c r="H9" s="66"/>
      <c r="I9" s="66"/>
      <c r="J9" s="66"/>
    </row>
    <row r="10" spans="1:10" ht="20.100000000000001" customHeight="1">
      <c r="A10" s="11" t="s">
        <v>1844</v>
      </c>
      <c r="B10" s="11" t="s">
        <v>1450</v>
      </c>
      <c r="C10" s="11" t="s">
        <v>1835</v>
      </c>
      <c r="D10" s="11" t="s">
        <v>1845</v>
      </c>
      <c r="E10" s="11" t="s">
        <v>1846</v>
      </c>
      <c r="F10" s="11" t="s">
        <v>1847</v>
      </c>
      <c r="G10" s="11" t="s">
        <v>1848</v>
      </c>
      <c r="H10" s="11" t="s">
        <v>1849</v>
      </c>
      <c r="I10" s="11" t="s">
        <v>1850</v>
      </c>
      <c r="J10" s="11" t="s">
        <v>1851</v>
      </c>
    </row>
    <row r="11" spans="1:10">
      <c r="A11" s="12" t="s">
        <v>1852</v>
      </c>
      <c r="B11" s="13" t="s">
        <v>141</v>
      </c>
      <c r="C11" s="12">
        <v>1</v>
      </c>
      <c r="D11" s="12">
        <v>1</v>
      </c>
      <c r="E11" s="12">
        <v>0</v>
      </c>
      <c r="F11" s="12">
        <v>0</v>
      </c>
      <c r="G11" s="12">
        <v>4</v>
      </c>
      <c r="H11" s="12">
        <v>0</v>
      </c>
      <c r="I11" s="12">
        <v>4</v>
      </c>
      <c r="J11" s="12">
        <v>3</v>
      </c>
    </row>
    <row r="12" spans="1:10">
      <c r="A12" s="14" t="s">
        <v>1853</v>
      </c>
      <c r="B12" s="15" t="s">
        <v>144</v>
      </c>
      <c r="C12" s="14">
        <v>1</v>
      </c>
      <c r="D12" s="14">
        <v>1</v>
      </c>
      <c r="E12" s="14">
        <v>0</v>
      </c>
      <c r="F12" s="14">
        <v>0</v>
      </c>
      <c r="G12" s="14">
        <v>3</v>
      </c>
      <c r="H12" s="14">
        <v>2</v>
      </c>
      <c r="I12" s="14">
        <v>1</v>
      </c>
      <c r="J12" s="14">
        <v>3</v>
      </c>
    </row>
    <row r="13" spans="1:10">
      <c r="A13" s="9" t="s">
        <v>1854</v>
      </c>
      <c r="B13" s="10" t="s">
        <v>132</v>
      </c>
      <c r="C13" s="9">
        <v>0</v>
      </c>
      <c r="D13" s="9">
        <v>0</v>
      </c>
      <c r="E13" s="9">
        <v>0</v>
      </c>
      <c r="F13" s="9">
        <v>0</v>
      </c>
      <c r="G13" s="9">
        <v>0</v>
      </c>
      <c r="H13" s="9">
        <v>0</v>
      </c>
      <c r="I13" s="9">
        <v>0</v>
      </c>
      <c r="J13" s="9">
        <v>0</v>
      </c>
    </row>
    <row r="14" spans="1:10">
      <c r="A14" s="9" t="s">
        <v>1855</v>
      </c>
      <c r="B14" s="10" t="s">
        <v>135</v>
      </c>
      <c r="C14" s="9">
        <v>1</v>
      </c>
      <c r="D14" s="9">
        <v>0</v>
      </c>
      <c r="E14" s="9">
        <v>0</v>
      </c>
      <c r="F14" s="9">
        <v>1</v>
      </c>
      <c r="G14" s="9">
        <v>2</v>
      </c>
      <c r="H14" s="9">
        <v>3</v>
      </c>
      <c r="I14" s="9">
        <v>-1</v>
      </c>
      <c r="J14" s="9">
        <v>0</v>
      </c>
    </row>
    <row r="15" spans="1:10" ht="22.15" customHeight="1">
      <c r="A15" s="16" t="s">
        <v>1856</v>
      </c>
      <c r="B15" s="17" t="s">
        <v>1839</v>
      </c>
      <c r="C15" s="16">
        <v>1</v>
      </c>
      <c r="D15" s="16">
        <v>0</v>
      </c>
      <c r="E15" s="16">
        <v>0</v>
      </c>
      <c r="F15" s="16">
        <v>1</v>
      </c>
      <c r="G15" s="16">
        <v>0</v>
      </c>
      <c r="H15" s="16">
        <v>4</v>
      </c>
      <c r="I15" s="16">
        <v>-4</v>
      </c>
      <c r="J15" s="16">
        <v>0</v>
      </c>
    </row>
    <row r="16" spans="1:10" ht="19.899999999999999" customHeight="1"/>
    <row r="17" spans="1:10" ht="21.95" customHeight="1">
      <c r="A17" s="65" t="s">
        <v>1858</v>
      </c>
      <c r="B17" s="66"/>
      <c r="C17" s="66"/>
      <c r="D17" s="66"/>
      <c r="E17" s="66"/>
      <c r="F17" s="66"/>
      <c r="G17" s="66"/>
      <c r="H17" s="66"/>
      <c r="I17" s="66"/>
      <c r="J17" s="66"/>
    </row>
    <row r="18" spans="1:10" ht="20.100000000000001" customHeight="1">
      <c r="A18" s="11" t="s">
        <v>1844</v>
      </c>
      <c r="B18" s="11" t="s">
        <v>1450</v>
      </c>
      <c r="C18" s="11" t="s">
        <v>1835</v>
      </c>
      <c r="D18" s="11" t="s">
        <v>1845</v>
      </c>
      <c r="E18" s="11" t="s">
        <v>1846</v>
      </c>
      <c r="F18" s="11" t="s">
        <v>1847</v>
      </c>
      <c r="G18" s="11" t="s">
        <v>1848</v>
      </c>
      <c r="H18" s="11" t="s">
        <v>1849</v>
      </c>
      <c r="I18" s="11" t="s">
        <v>1850</v>
      </c>
      <c r="J18" s="11" t="s">
        <v>1851</v>
      </c>
    </row>
    <row r="19" spans="1:10">
      <c r="A19" s="12" t="s">
        <v>1852</v>
      </c>
      <c r="B19" s="13" t="s">
        <v>119</v>
      </c>
      <c r="C19" s="12">
        <v>0</v>
      </c>
      <c r="D19" s="12">
        <v>0</v>
      </c>
      <c r="E19" s="12">
        <v>0</v>
      </c>
      <c r="F19" s="12">
        <v>0</v>
      </c>
      <c r="G19" s="12">
        <v>0</v>
      </c>
      <c r="H19" s="12">
        <v>0</v>
      </c>
      <c r="I19" s="12">
        <v>0</v>
      </c>
      <c r="J19" s="12">
        <v>0</v>
      </c>
    </row>
    <row r="20" spans="1:10">
      <c r="A20" s="14" t="s">
        <v>1853</v>
      </c>
      <c r="B20" s="15" t="s">
        <v>1838</v>
      </c>
      <c r="C20" s="14">
        <v>0</v>
      </c>
      <c r="D20" s="14">
        <v>0</v>
      </c>
      <c r="E20" s="14">
        <v>0</v>
      </c>
      <c r="F20" s="14">
        <v>0</v>
      </c>
      <c r="G20" s="14">
        <v>0</v>
      </c>
      <c r="H20" s="14">
        <v>0</v>
      </c>
      <c r="I20" s="14">
        <v>0</v>
      </c>
      <c r="J20" s="14">
        <v>0</v>
      </c>
    </row>
    <row r="21" spans="1:10">
      <c r="A21" s="9" t="s">
        <v>1854</v>
      </c>
      <c r="B21" s="10" t="s">
        <v>123</v>
      </c>
      <c r="C21" s="9">
        <v>0</v>
      </c>
      <c r="D21" s="9">
        <v>0</v>
      </c>
      <c r="E21" s="9">
        <v>0</v>
      </c>
      <c r="F21" s="9">
        <v>0</v>
      </c>
      <c r="G21" s="9">
        <v>0</v>
      </c>
      <c r="H21" s="9">
        <v>0</v>
      </c>
      <c r="I21" s="9">
        <v>0</v>
      </c>
      <c r="J21" s="9">
        <v>0</v>
      </c>
    </row>
    <row r="22" spans="1:10">
      <c r="A22" s="16" t="s">
        <v>1855</v>
      </c>
      <c r="B22" s="17" t="s">
        <v>126</v>
      </c>
      <c r="C22" s="16">
        <v>0</v>
      </c>
      <c r="D22" s="16">
        <v>0</v>
      </c>
      <c r="E22" s="16">
        <v>0</v>
      </c>
      <c r="F22" s="16">
        <v>0</v>
      </c>
      <c r="G22" s="16">
        <v>0</v>
      </c>
      <c r="H22" s="16">
        <v>0</v>
      </c>
      <c r="I22" s="16">
        <v>0</v>
      </c>
      <c r="J22" s="16">
        <v>0</v>
      </c>
    </row>
    <row r="24" spans="1:10" ht="21.95" customHeight="1">
      <c r="A24" s="65" t="s">
        <v>1859</v>
      </c>
      <c r="B24" s="66"/>
      <c r="C24" s="66"/>
      <c r="D24" s="66"/>
      <c r="E24" s="66"/>
      <c r="F24" s="66"/>
      <c r="G24" s="66"/>
      <c r="H24" s="66"/>
      <c r="I24" s="66"/>
      <c r="J24" s="66"/>
    </row>
    <row r="25" spans="1:10" ht="20.100000000000001" customHeight="1">
      <c r="A25" s="11" t="s">
        <v>1844</v>
      </c>
      <c r="B25" s="11" t="s">
        <v>1450</v>
      </c>
      <c r="C25" s="11" t="s">
        <v>1835</v>
      </c>
      <c r="D25" s="11" t="s">
        <v>1845</v>
      </c>
      <c r="E25" s="11" t="s">
        <v>1846</v>
      </c>
      <c r="F25" s="11" t="s">
        <v>1847</v>
      </c>
      <c r="G25" s="11" t="s">
        <v>1848</v>
      </c>
      <c r="H25" s="11" t="s">
        <v>1849</v>
      </c>
      <c r="I25" s="11" t="s">
        <v>1850</v>
      </c>
      <c r="J25" s="11" t="s">
        <v>1851</v>
      </c>
    </row>
    <row r="26" spans="1:10" ht="22.15" customHeight="1">
      <c r="A26" s="12" t="s">
        <v>1852</v>
      </c>
      <c r="B26" s="13" t="s">
        <v>1841</v>
      </c>
      <c r="C26" s="12">
        <v>0</v>
      </c>
      <c r="D26" s="12">
        <v>0</v>
      </c>
      <c r="E26" s="12">
        <v>0</v>
      </c>
      <c r="F26" s="12">
        <v>0</v>
      </c>
      <c r="G26" s="12">
        <v>0</v>
      </c>
      <c r="H26" s="12">
        <v>0</v>
      </c>
      <c r="I26" s="12">
        <v>0</v>
      </c>
      <c r="J26" s="12">
        <v>0</v>
      </c>
    </row>
    <row r="27" spans="1:10" ht="19.899999999999999" customHeight="1">
      <c r="A27" s="14" t="s">
        <v>1853</v>
      </c>
      <c r="B27" s="15" t="s">
        <v>151</v>
      </c>
      <c r="C27" s="14">
        <v>0</v>
      </c>
      <c r="D27" s="14">
        <v>0</v>
      </c>
      <c r="E27" s="14">
        <v>0</v>
      </c>
      <c r="F27" s="14">
        <v>0</v>
      </c>
      <c r="G27" s="14">
        <v>0</v>
      </c>
      <c r="H27" s="14">
        <v>0</v>
      </c>
      <c r="I27" s="14">
        <v>0</v>
      </c>
      <c r="J27" s="14">
        <v>0</v>
      </c>
    </row>
    <row r="28" spans="1:10">
      <c r="A28" s="9" t="s">
        <v>1854</v>
      </c>
      <c r="B28" s="10" t="s">
        <v>160</v>
      </c>
      <c r="C28" s="9">
        <v>0</v>
      </c>
      <c r="D28" s="9">
        <v>0</v>
      </c>
      <c r="E28" s="9">
        <v>0</v>
      </c>
      <c r="F28" s="9">
        <v>0</v>
      </c>
      <c r="G28" s="9">
        <v>0</v>
      </c>
      <c r="H28" s="9">
        <v>0</v>
      </c>
      <c r="I28" s="9">
        <v>0</v>
      </c>
      <c r="J28" s="9">
        <v>0</v>
      </c>
    </row>
    <row r="29" spans="1:10">
      <c r="A29" s="9" t="s">
        <v>1855</v>
      </c>
      <c r="B29" s="10" t="s">
        <v>1840</v>
      </c>
      <c r="C29" s="9">
        <v>0</v>
      </c>
      <c r="D29" s="9">
        <v>0</v>
      </c>
      <c r="E29" s="9">
        <v>0</v>
      </c>
      <c r="F29" s="9">
        <v>0</v>
      </c>
      <c r="G29" s="9">
        <v>0</v>
      </c>
      <c r="H29" s="9">
        <v>0</v>
      </c>
      <c r="I29" s="9">
        <v>0</v>
      </c>
      <c r="J29" s="9">
        <v>0</v>
      </c>
    </row>
    <row r="30" spans="1:10">
      <c r="A30" s="16" t="s">
        <v>1856</v>
      </c>
      <c r="B30" s="17" t="s">
        <v>709</v>
      </c>
      <c r="C30" s="16">
        <v>0</v>
      </c>
      <c r="D30" s="16">
        <v>0</v>
      </c>
      <c r="E30" s="16">
        <v>0</v>
      </c>
      <c r="F30" s="16">
        <v>0</v>
      </c>
      <c r="G30" s="16">
        <v>0</v>
      </c>
      <c r="H30" s="16">
        <v>0</v>
      </c>
      <c r="I30" s="16">
        <v>0</v>
      </c>
      <c r="J30" s="16">
        <v>0</v>
      </c>
    </row>
    <row r="32" spans="1:10" ht="21.95" customHeight="1">
      <c r="A32" s="65" t="s">
        <v>1860</v>
      </c>
      <c r="B32" s="66"/>
      <c r="C32" s="66"/>
      <c r="D32" s="66"/>
      <c r="E32" s="66"/>
      <c r="F32" s="66"/>
      <c r="G32" s="66"/>
      <c r="H32" s="66"/>
      <c r="I32" s="66"/>
      <c r="J32" s="66"/>
    </row>
    <row r="33" spans="1:10" ht="20.100000000000001" customHeight="1">
      <c r="A33" s="11" t="s">
        <v>1844</v>
      </c>
      <c r="B33" s="11" t="s">
        <v>1450</v>
      </c>
      <c r="C33" s="11" t="s">
        <v>1835</v>
      </c>
      <c r="D33" s="11" t="s">
        <v>1845</v>
      </c>
      <c r="E33" s="11" t="s">
        <v>1846</v>
      </c>
      <c r="F33" s="11" t="s">
        <v>1847</v>
      </c>
      <c r="G33" s="11" t="s">
        <v>1848</v>
      </c>
      <c r="H33" s="11" t="s">
        <v>1849</v>
      </c>
      <c r="I33" s="11" t="s">
        <v>1850</v>
      </c>
      <c r="J33" s="11" t="s">
        <v>1851</v>
      </c>
    </row>
    <row r="34" spans="1:10" ht="19.899999999999999" customHeight="1">
      <c r="A34" s="12" t="s">
        <v>1852</v>
      </c>
      <c r="B34" s="13" t="s">
        <v>698</v>
      </c>
      <c r="C34" s="12">
        <v>0</v>
      </c>
      <c r="D34" s="12">
        <v>0</v>
      </c>
      <c r="E34" s="12">
        <v>0</v>
      </c>
      <c r="F34" s="12">
        <v>0</v>
      </c>
      <c r="G34" s="12">
        <v>0</v>
      </c>
      <c r="H34" s="12">
        <v>0</v>
      </c>
      <c r="I34" s="12">
        <v>0</v>
      </c>
      <c r="J34" s="12">
        <v>0</v>
      </c>
    </row>
    <row r="35" spans="1:10">
      <c r="A35" s="14" t="s">
        <v>1853</v>
      </c>
      <c r="B35" s="15" t="s">
        <v>169</v>
      </c>
      <c r="C35" s="14">
        <v>0</v>
      </c>
      <c r="D35" s="14">
        <v>0</v>
      </c>
      <c r="E35" s="14">
        <v>0</v>
      </c>
      <c r="F35" s="14">
        <v>0</v>
      </c>
      <c r="G35" s="14">
        <v>0</v>
      </c>
      <c r="H35" s="14">
        <v>0</v>
      </c>
      <c r="I35" s="14">
        <v>0</v>
      </c>
      <c r="J35" s="14">
        <v>0</v>
      </c>
    </row>
    <row r="36" spans="1:10">
      <c r="A36" s="9" t="s">
        <v>1854</v>
      </c>
      <c r="B36" s="10" t="s">
        <v>175</v>
      </c>
      <c r="C36" s="9">
        <v>0</v>
      </c>
      <c r="D36" s="9">
        <v>0</v>
      </c>
      <c r="E36" s="9">
        <v>0</v>
      </c>
      <c r="F36" s="9">
        <v>0</v>
      </c>
      <c r="G36" s="9">
        <v>0</v>
      </c>
      <c r="H36" s="9">
        <v>0</v>
      </c>
      <c r="I36" s="9">
        <v>0</v>
      </c>
      <c r="J36" s="9">
        <v>0</v>
      </c>
    </row>
    <row r="37" spans="1:10">
      <c r="A37" s="9" t="s">
        <v>1855</v>
      </c>
      <c r="B37" s="10" t="s">
        <v>181</v>
      </c>
      <c r="C37" s="9">
        <v>0</v>
      </c>
      <c r="D37" s="9">
        <v>0</v>
      </c>
      <c r="E37" s="9">
        <v>0</v>
      </c>
      <c r="F37" s="9">
        <v>0</v>
      </c>
      <c r="G37" s="9">
        <v>0</v>
      </c>
      <c r="H37" s="9">
        <v>0</v>
      </c>
      <c r="I37" s="9">
        <v>0</v>
      </c>
      <c r="J37" s="9">
        <v>0</v>
      </c>
    </row>
    <row r="38" spans="1:10">
      <c r="A38" s="16" t="s">
        <v>1856</v>
      </c>
      <c r="B38" s="17" t="s">
        <v>184</v>
      </c>
      <c r="C38" s="16">
        <v>0</v>
      </c>
      <c r="D38" s="16">
        <v>0</v>
      </c>
      <c r="E38" s="16">
        <v>0</v>
      </c>
      <c r="F38" s="16">
        <v>0</v>
      </c>
      <c r="G38" s="16">
        <v>0</v>
      </c>
      <c r="H38" s="16">
        <v>0</v>
      </c>
      <c r="I38" s="16">
        <v>0</v>
      </c>
      <c r="J38" s="16">
        <v>0</v>
      </c>
    </row>
    <row r="40" spans="1:10" ht="21.95" customHeight="1">
      <c r="A40" s="65" t="s">
        <v>1861</v>
      </c>
      <c r="B40" s="66"/>
      <c r="C40" s="66"/>
      <c r="D40" s="66"/>
      <c r="E40" s="66"/>
      <c r="F40" s="66"/>
      <c r="G40" s="66"/>
      <c r="H40" s="66"/>
      <c r="I40" s="66"/>
      <c r="J40" s="66"/>
    </row>
    <row r="41" spans="1:10" ht="20.100000000000001" customHeight="1">
      <c r="A41" s="11" t="s">
        <v>1844</v>
      </c>
      <c r="B41" s="11" t="s">
        <v>1450</v>
      </c>
      <c r="C41" s="11" t="s">
        <v>1835</v>
      </c>
      <c r="D41" s="11" t="s">
        <v>1845</v>
      </c>
      <c r="E41" s="11" t="s">
        <v>1846</v>
      </c>
      <c r="F41" s="11" t="s">
        <v>1847</v>
      </c>
      <c r="G41" s="11" t="s">
        <v>1848</v>
      </c>
      <c r="H41" s="11" t="s">
        <v>1849</v>
      </c>
      <c r="I41" s="11" t="s">
        <v>1850</v>
      </c>
      <c r="J41" s="11" t="s">
        <v>1851</v>
      </c>
    </row>
    <row r="42" spans="1:10">
      <c r="A42" s="12" t="s">
        <v>1852</v>
      </c>
      <c r="B42" s="13" t="s">
        <v>1841</v>
      </c>
      <c r="C42" s="12">
        <v>0</v>
      </c>
      <c r="D42" s="12">
        <v>0</v>
      </c>
      <c r="E42" s="12">
        <v>0</v>
      </c>
      <c r="F42" s="12">
        <v>0</v>
      </c>
      <c r="G42" s="12">
        <v>0</v>
      </c>
      <c r="H42" s="12">
        <v>0</v>
      </c>
      <c r="I42" s="12">
        <v>0</v>
      </c>
      <c r="J42" s="12">
        <v>0</v>
      </c>
    </row>
    <row r="43" spans="1:10">
      <c r="A43" s="14" t="s">
        <v>1853</v>
      </c>
      <c r="B43" s="15" t="s">
        <v>151</v>
      </c>
      <c r="C43" s="14">
        <v>0</v>
      </c>
      <c r="D43" s="14">
        <v>0</v>
      </c>
      <c r="E43" s="14">
        <v>0</v>
      </c>
      <c r="F43" s="14">
        <v>0</v>
      </c>
      <c r="G43" s="14">
        <v>0</v>
      </c>
      <c r="H43" s="14">
        <v>0</v>
      </c>
      <c r="I43" s="14">
        <v>0</v>
      </c>
      <c r="J43" s="14">
        <v>0</v>
      </c>
    </row>
    <row r="44" spans="1:10">
      <c r="A44" s="9" t="s">
        <v>1854</v>
      </c>
      <c r="B44" s="10" t="s">
        <v>160</v>
      </c>
      <c r="C44" s="9">
        <v>0</v>
      </c>
      <c r="D44" s="9">
        <v>0</v>
      </c>
      <c r="E44" s="9">
        <v>0</v>
      </c>
      <c r="F44" s="9">
        <v>0</v>
      </c>
      <c r="G44" s="9">
        <v>0</v>
      </c>
      <c r="H44" s="9">
        <v>0</v>
      </c>
      <c r="I44" s="9">
        <v>0</v>
      </c>
      <c r="J44" s="9">
        <v>0</v>
      </c>
    </row>
    <row r="45" spans="1:10">
      <c r="A45" s="16" t="s">
        <v>1855</v>
      </c>
      <c r="B45" s="17" t="s">
        <v>1840</v>
      </c>
      <c r="C45" s="16">
        <v>0</v>
      </c>
      <c r="D45" s="16">
        <v>0</v>
      </c>
      <c r="E45" s="16">
        <v>0</v>
      </c>
      <c r="F45" s="16">
        <v>0</v>
      </c>
      <c r="G45" s="16">
        <v>0</v>
      </c>
      <c r="H45" s="16">
        <v>0</v>
      </c>
      <c r="I45" s="16">
        <v>0</v>
      </c>
      <c r="J45" s="16">
        <v>0</v>
      </c>
    </row>
    <row r="47" spans="1:10" ht="21.95" customHeight="1">
      <c r="A47" s="65" t="s">
        <v>1862</v>
      </c>
      <c r="B47" s="66"/>
      <c r="C47" s="66"/>
      <c r="D47" s="66"/>
      <c r="E47" s="66"/>
      <c r="F47" s="66"/>
      <c r="G47" s="66"/>
      <c r="H47" s="66"/>
      <c r="I47" s="66"/>
      <c r="J47" s="66"/>
    </row>
    <row r="48" spans="1:10" ht="20.100000000000001" customHeight="1">
      <c r="A48" s="11" t="s">
        <v>1844</v>
      </c>
      <c r="B48" s="11" t="s">
        <v>1450</v>
      </c>
      <c r="C48" s="11" t="s">
        <v>1835</v>
      </c>
      <c r="D48" s="11" t="s">
        <v>1845</v>
      </c>
      <c r="E48" s="11" t="s">
        <v>1846</v>
      </c>
      <c r="F48" s="11" t="s">
        <v>1847</v>
      </c>
      <c r="G48" s="11" t="s">
        <v>1848</v>
      </c>
      <c r="H48" s="11" t="s">
        <v>1849</v>
      </c>
      <c r="I48" s="11" t="s">
        <v>1850</v>
      </c>
      <c r="J48" s="11" t="s">
        <v>1851</v>
      </c>
    </row>
    <row r="49" spans="1:10">
      <c r="A49" s="12" t="s">
        <v>1852</v>
      </c>
      <c r="B49" s="13" t="s">
        <v>105</v>
      </c>
      <c r="C49" s="12">
        <v>1</v>
      </c>
      <c r="D49" s="12">
        <v>1</v>
      </c>
      <c r="E49" s="12">
        <v>0</v>
      </c>
      <c r="F49" s="12">
        <v>0</v>
      </c>
      <c r="G49" s="12">
        <v>21</v>
      </c>
      <c r="H49" s="12">
        <v>17</v>
      </c>
      <c r="I49" s="12">
        <v>4</v>
      </c>
      <c r="J49" s="12">
        <v>3</v>
      </c>
    </row>
    <row r="50" spans="1:10">
      <c r="A50" s="14" t="s">
        <v>1853</v>
      </c>
      <c r="B50" s="15" t="s">
        <v>275</v>
      </c>
      <c r="C50" s="14">
        <v>0</v>
      </c>
      <c r="D50" s="14">
        <v>0</v>
      </c>
      <c r="E50" s="14">
        <v>0</v>
      </c>
      <c r="F50" s="14">
        <v>0</v>
      </c>
      <c r="G50" s="14">
        <v>0</v>
      </c>
      <c r="H50" s="14">
        <v>0</v>
      </c>
      <c r="I50" s="14">
        <v>0</v>
      </c>
      <c r="J50" s="14">
        <v>0</v>
      </c>
    </row>
    <row r="51" spans="1:10">
      <c r="A51" s="9" t="s">
        <v>1854</v>
      </c>
      <c r="B51" s="10" t="s">
        <v>113</v>
      </c>
      <c r="C51" s="9">
        <v>0</v>
      </c>
      <c r="D51" s="9">
        <v>0</v>
      </c>
      <c r="E51" s="9">
        <v>0</v>
      </c>
      <c r="F51" s="9">
        <v>0</v>
      </c>
      <c r="G51" s="9">
        <v>0</v>
      </c>
      <c r="H51" s="9">
        <v>0</v>
      </c>
      <c r="I51" s="9">
        <v>0</v>
      </c>
      <c r="J51" s="9">
        <v>0</v>
      </c>
    </row>
    <row r="52" spans="1:10">
      <c r="A52" s="9" t="s">
        <v>1855</v>
      </c>
      <c r="B52" s="10" t="s">
        <v>116</v>
      </c>
      <c r="C52" s="9">
        <v>0</v>
      </c>
      <c r="D52" s="9">
        <v>0</v>
      </c>
      <c r="E52" s="9">
        <v>0</v>
      </c>
      <c r="F52" s="9">
        <v>0</v>
      </c>
      <c r="G52" s="9">
        <v>0</v>
      </c>
      <c r="H52" s="9">
        <v>0</v>
      </c>
      <c r="I52" s="9">
        <v>0</v>
      </c>
      <c r="J52" s="9">
        <v>0</v>
      </c>
    </row>
    <row r="53" spans="1:10">
      <c r="A53" s="9" t="s">
        <v>1856</v>
      </c>
      <c r="B53" s="10" t="s">
        <v>293</v>
      </c>
      <c r="C53" s="9">
        <v>0</v>
      </c>
      <c r="D53" s="9">
        <v>0</v>
      </c>
      <c r="E53" s="9">
        <v>0</v>
      </c>
      <c r="F53" s="9">
        <v>0</v>
      </c>
      <c r="G53" s="9">
        <v>0</v>
      </c>
      <c r="H53" s="9">
        <v>0</v>
      </c>
      <c r="I53" s="9">
        <v>0</v>
      </c>
      <c r="J53" s="9">
        <v>0</v>
      </c>
    </row>
    <row r="54" spans="1:10">
      <c r="A54" s="16" t="s">
        <v>1863</v>
      </c>
      <c r="B54" s="17" t="s">
        <v>296</v>
      </c>
      <c r="C54" s="16">
        <v>1</v>
      </c>
      <c r="D54" s="16">
        <v>0</v>
      </c>
      <c r="E54" s="16">
        <v>0</v>
      </c>
      <c r="F54" s="16">
        <v>1</v>
      </c>
      <c r="G54" s="16">
        <v>17</v>
      </c>
      <c r="H54" s="16">
        <v>21</v>
      </c>
      <c r="I54" s="16">
        <v>-4</v>
      </c>
      <c r="J54" s="16">
        <v>0</v>
      </c>
    </row>
    <row r="56" spans="1:10" ht="21.95" customHeight="1">
      <c r="A56" s="65" t="s">
        <v>1864</v>
      </c>
      <c r="B56" s="66"/>
      <c r="C56" s="66"/>
      <c r="D56" s="66"/>
      <c r="E56" s="66"/>
      <c r="F56" s="66"/>
      <c r="G56" s="66"/>
      <c r="H56" s="66"/>
      <c r="I56" s="66"/>
      <c r="J56" s="66"/>
    </row>
    <row r="57" spans="1:10" ht="20.100000000000001" customHeight="1">
      <c r="A57" s="11" t="s">
        <v>1844</v>
      </c>
      <c r="B57" s="11" t="s">
        <v>1450</v>
      </c>
      <c r="C57" s="11" t="s">
        <v>1835</v>
      </c>
      <c r="D57" s="11" t="s">
        <v>1845</v>
      </c>
      <c r="E57" s="11" t="s">
        <v>1846</v>
      </c>
      <c r="F57" s="11" t="s">
        <v>1847</v>
      </c>
      <c r="G57" s="11" t="s">
        <v>1848</v>
      </c>
      <c r="H57" s="11" t="s">
        <v>1849</v>
      </c>
      <c r="I57" s="11" t="s">
        <v>1850</v>
      </c>
      <c r="J57" s="11" t="s">
        <v>1851</v>
      </c>
    </row>
    <row r="58" spans="1:10">
      <c r="A58" s="12" t="s">
        <v>1852</v>
      </c>
      <c r="B58" s="13" t="s">
        <v>105</v>
      </c>
      <c r="C58" s="12">
        <v>0</v>
      </c>
      <c r="D58" s="12">
        <v>0</v>
      </c>
      <c r="E58" s="12">
        <v>0</v>
      </c>
      <c r="F58" s="12">
        <v>0</v>
      </c>
      <c r="G58" s="12">
        <v>0</v>
      </c>
      <c r="H58" s="12">
        <v>0</v>
      </c>
      <c r="I58" s="12">
        <v>0</v>
      </c>
      <c r="J58" s="12">
        <v>0</v>
      </c>
    </row>
    <row r="59" spans="1:10">
      <c r="A59" s="14" t="s">
        <v>1853</v>
      </c>
      <c r="B59" s="15" t="s">
        <v>275</v>
      </c>
      <c r="C59" s="14">
        <v>0</v>
      </c>
      <c r="D59" s="14">
        <v>0</v>
      </c>
      <c r="E59" s="14">
        <v>0</v>
      </c>
      <c r="F59" s="14">
        <v>0</v>
      </c>
      <c r="G59" s="14">
        <v>0</v>
      </c>
      <c r="H59" s="14">
        <v>0</v>
      </c>
      <c r="I59" s="14">
        <v>0</v>
      </c>
      <c r="J59" s="14">
        <v>0</v>
      </c>
    </row>
    <row r="60" spans="1:10">
      <c r="A60" s="9" t="s">
        <v>1854</v>
      </c>
      <c r="B60" s="10" t="s">
        <v>113</v>
      </c>
      <c r="C60" s="9">
        <v>0</v>
      </c>
      <c r="D60" s="9">
        <v>0</v>
      </c>
      <c r="E60" s="9">
        <v>0</v>
      </c>
      <c r="F60" s="9">
        <v>0</v>
      </c>
      <c r="G60" s="9">
        <v>0</v>
      </c>
      <c r="H60" s="9">
        <v>0</v>
      </c>
      <c r="I60" s="9">
        <v>0</v>
      </c>
      <c r="J60" s="9">
        <v>0</v>
      </c>
    </row>
    <row r="61" spans="1:10">
      <c r="A61" s="16" t="s">
        <v>1855</v>
      </c>
      <c r="B61" s="17" t="s">
        <v>116</v>
      </c>
      <c r="C61" s="16">
        <v>0</v>
      </c>
      <c r="D61" s="16">
        <v>0</v>
      </c>
      <c r="E61" s="16">
        <v>0</v>
      </c>
      <c r="F61" s="16">
        <v>0</v>
      </c>
      <c r="G61" s="16">
        <v>0</v>
      </c>
      <c r="H61" s="16">
        <v>0</v>
      </c>
      <c r="I61" s="16">
        <v>0</v>
      </c>
      <c r="J61" s="16">
        <v>0</v>
      </c>
    </row>
    <row r="63" spans="1:10" ht="21.95" customHeight="1">
      <c r="A63" s="65" t="s">
        <v>1865</v>
      </c>
      <c r="B63" s="66"/>
      <c r="C63" s="66"/>
      <c r="D63" s="66"/>
      <c r="E63" s="66"/>
      <c r="F63" s="66"/>
      <c r="G63" s="66"/>
      <c r="H63" s="66"/>
      <c r="I63" s="66"/>
      <c r="J63" s="66"/>
    </row>
    <row r="64" spans="1:10" ht="20.100000000000001" customHeight="1">
      <c r="A64" s="11" t="s">
        <v>1844</v>
      </c>
      <c r="B64" s="11" t="s">
        <v>1450</v>
      </c>
      <c r="C64" s="11" t="s">
        <v>1835</v>
      </c>
      <c r="D64" s="11" t="s">
        <v>1845</v>
      </c>
      <c r="E64" s="11" t="s">
        <v>1846</v>
      </c>
      <c r="F64" s="11" t="s">
        <v>1847</v>
      </c>
      <c r="G64" s="11" t="s">
        <v>1848</v>
      </c>
      <c r="H64" s="11" t="s">
        <v>1849</v>
      </c>
      <c r="I64" s="11" t="s">
        <v>1850</v>
      </c>
      <c r="J64" s="11" t="s">
        <v>1851</v>
      </c>
    </row>
    <row r="65" spans="1:10">
      <c r="A65" s="12" t="s">
        <v>1852</v>
      </c>
      <c r="B65" s="13" t="s">
        <v>1866</v>
      </c>
      <c r="C65" s="12">
        <v>0</v>
      </c>
      <c r="D65" s="12">
        <v>0</v>
      </c>
      <c r="E65" s="12">
        <v>0</v>
      </c>
      <c r="F65" s="12">
        <v>0</v>
      </c>
      <c r="G65" s="12">
        <v>0</v>
      </c>
      <c r="H65" s="12">
        <v>0</v>
      </c>
      <c r="I65" s="12">
        <v>0</v>
      </c>
      <c r="J65" s="12">
        <v>0</v>
      </c>
    </row>
    <row r="66" spans="1:10">
      <c r="A66" s="14" t="s">
        <v>1853</v>
      </c>
      <c r="B66" s="15" t="s">
        <v>1867</v>
      </c>
      <c r="C66" s="14">
        <v>0</v>
      </c>
      <c r="D66" s="14">
        <v>0</v>
      </c>
      <c r="E66" s="14">
        <v>0</v>
      </c>
      <c r="F66" s="14">
        <v>0</v>
      </c>
      <c r="G66" s="14">
        <v>0</v>
      </c>
      <c r="H66" s="14">
        <v>0</v>
      </c>
      <c r="I66" s="14">
        <v>0</v>
      </c>
      <c r="J66" s="14">
        <v>0</v>
      </c>
    </row>
    <row r="67" spans="1:10">
      <c r="A67" s="9" t="s">
        <v>1854</v>
      </c>
      <c r="B67" s="10" t="s">
        <v>1868</v>
      </c>
      <c r="C67" s="9">
        <v>0</v>
      </c>
      <c r="D67" s="9">
        <v>0</v>
      </c>
      <c r="E67" s="9">
        <v>0</v>
      </c>
      <c r="F67" s="9">
        <v>0</v>
      </c>
      <c r="G67" s="9">
        <v>0</v>
      </c>
      <c r="H67" s="9">
        <v>0</v>
      </c>
      <c r="I67" s="9">
        <v>0</v>
      </c>
      <c r="J67" s="9">
        <v>0</v>
      </c>
    </row>
    <row r="68" spans="1:10">
      <c r="A68" s="9" t="s">
        <v>1855</v>
      </c>
      <c r="B68" s="10" t="s">
        <v>1869</v>
      </c>
      <c r="C68" s="9">
        <v>0</v>
      </c>
      <c r="D68" s="9">
        <v>0</v>
      </c>
      <c r="E68" s="9">
        <v>0</v>
      </c>
      <c r="F68" s="9">
        <v>0</v>
      </c>
      <c r="G68" s="9">
        <v>0</v>
      </c>
      <c r="H68" s="9">
        <v>0</v>
      </c>
      <c r="I68" s="9">
        <v>0</v>
      </c>
      <c r="J68" s="9">
        <v>0</v>
      </c>
    </row>
    <row r="69" spans="1:10">
      <c r="A69" s="9" t="s">
        <v>1856</v>
      </c>
      <c r="B69" s="10" t="s">
        <v>1870</v>
      </c>
      <c r="C69" s="9">
        <v>0</v>
      </c>
      <c r="D69" s="9">
        <v>0</v>
      </c>
      <c r="E69" s="9">
        <v>0</v>
      </c>
      <c r="F69" s="9">
        <v>0</v>
      </c>
      <c r="G69" s="9">
        <v>0</v>
      </c>
      <c r="H69" s="9">
        <v>0</v>
      </c>
      <c r="I69" s="9">
        <v>0</v>
      </c>
      <c r="J69" s="9">
        <v>0</v>
      </c>
    </row>
    <row r="70" spans="1:10">
      <c r="A70" s="16" t="s">
        <v>1863</v>
      </c>
      <c r="B70" s="17" t="s">
        <v>1871</v>
      </c>
      <c r="C70" s="16">
        <v>0</v>
      </c>
      <c r="D70" s="16">
        <v>0</v>
      </c>
      <c r="E70" s="16">
        <v>0</v>
      </c>
      <c r="F70" s="16">
        <v>0</v>
      </c>
      <c r="G70" s="16">
        <v>0</v>
      </c>
      <c r="H70" s="16">
        <v>0</v>
      </c>
      <c r="I70" s="16">
        <v>0</v>
      </c>
      <c r="J70" s="16">
        <v>0</v>
      </c>
    </row>
    <row r="72" spans="1:10" ht="21.95" customHeight="1">
      <c r="A72" s="65" t="s">
        <v>1872</v>
      </c>
      <c r="B72" s="66"/>
      <c r="C72" s="66"/>
      <c r="D72" s="66"/>
      <c r="E72" s="66"/>
      <c r="F72" s="66"/>
      <c r="G72" s="66"/>
      <c r="H72" s="66"/>
      <c r="I72" s="66"/>
      <c r="J72" s="66"/>
    </row>
    <row r="73" spans="1:10" ht="20.100000000000001" customHeight="1">
      <c r="A73" s="11" t="s">
        <v>1844</v>
      </c>
      <c r="B73" s="11" t="s">
        <v>1450</v>
      </c>
      <c r="C73" s="11" t="s">
        <v>1835</v>
      </c>
      <c r="D73" s="11" t="s">
        <v>1845</v>
      </c>
      <c r="E73" s="11" t="s">
        <v>1846</v>
      </c>
      <c r="F73" s="11" t="s">
        <v>1847</v>
      </c>
      <c r="G73" s="11" t="s">
        <v>1848</v>
      </c>
      <c r="H73" s="11" t="s">
        <v>1849</v>
      </c>
      <c r="I73" s="11" t="s">
        <v>1850</v>
      </c>
      <c r="J73" s="11" t="s">
        <v>1851</v>
      </c>
    </row>
    <row r="74" spans="1:10">
      <c r="A74" s="12" t="s">
        <v>1852</v>
      </c>
      <c r="B74" s="13" t="s">
        <v>1873</v>
      </c>
      <c r="C74" s="12">
        <v>0</v>
      </c>
      <c r="D74" s="12">
        <v>0</v>
      </c>
      <c r="E74" s="12">
        <v>0</v>
      </c>
      <c r="F74" s="12">
        <v>0</v>
      </c>
      <c r="G74" s="12">
        <v>0</v>
      </c>
      <c r="H74" s="12">
        <v>0</v>
      </c>
      <c r="I74" s="12">
        <v>0</v>
      </c>
      <c r="J74" s="12">
        <v>0</v>
      </c>
    </row>
    <row r="75" spans="1:10">
      <c r="A75" s="14" t="s">
        <v>1853</v>
      </c>
      <c r="B75" s="15" t="s">
        <v>1866</v>
      </c>
      <c r="C75" s="14">
        <v>0</v>
      </c>
      <c r="D75" s="14">
        <v>0</v>
      </c>
      <c r="E75" s="14">
        <v>0</v>
      </c>
      <c r="F75" s="14">
        <v>0</v>
      </c>
      <c r="G75" s="14">
        <v>0</v>
      </c>
      <c r="H75" s="14">
        <v>0</v>
      </c>
      <c r="I75" s="14">
        <v>0</v>
      </c>
      <c r="J75" s="14">
        <v>0</v>
      </c>
    </row>
    <row r="76" spans="1:10">
      <c r="A76" s="9" t="s">
        <v>1854</v>
      </c>
      <c r="B76" s="10" t="s">
        <v>1867</v>
      </c>
      <c r="C76" s="9">
        <v>0</v>
      </c>
      <c r="D76" s="9">
        <v>0</v>
      </c>
      <c r="E76" s="9">
        <v>0</v>
      </c>
      <c r="F76" s="9">
        <v>0</v>
      </c>
      <c r="G76" s="9">
        <v>0</v>
      </c>
      <c r="H76" s="9">
        <v>0</v>
      </c>
      <c r="I76" s="9">
        <v>0</v>
      </c>
      <c r="J76" s="9">
        <v>0</v>
      </c>
    </row>
    <row r="77" spans="1:10">
      <c r="A77" s="9" t="s">
        <v>1855</v>
      </c>
      <c r="B77" s="10" t="s">
        <v>1870</v>
      </c>
      <c r="C77" s="9">
        <v>0</v>
      </c>
      <c r="D77" s="9">
        <v>0</v>
      </c>
      <c r="E77" s="9">
        <v>0</v>
      </c>
      <c r="F77" s="9">
        <v>0</v>
      </c>
      <c r="G77" s="9">
        <v>0</v>
      </c>
      <c r="H77" s="9">
        <v>0</v>
      </c>
      <c r="I77" s="9">
        <v>0</v>
      </c>
      <c r="J77" s="9">
        <v>0</v>
      </c>
    </row>
    <row r="78" spans="1:10">
      <c r="A78" s="9" t="s">
        <v>1856</v>
      </c>
      <c r="B78" s="10" t="s">
        <v>1871</v>
      </c>
      <c r="C78" s="9">
        <v>0</v>
      </c>
      <c r="D78" s="9">
        <v>0</v>
      </c>
      <c r="E78" s="9">
        <v>0</v>
      </c>
      <c r="F78" s="9">
        <v>0</v>
      </c>
      <c r="G78" s="9">
        <v>0</v>
      </c>
      <c r="H78" s="9">
        <v>0</v>
      </c>
      <c r="I78" s="9">
        <v>0</v>
      </c>
      <c r="J78" s="9">
        <v>0</v>
      </c>
    </row>
    <row r="79" spans="1:10">
      <c r="A79" s="16" t="s">
        <v>1863</v>
      </c>
      <c r="B79" s="17" t="s">
        <v>1874</v>
      </c>
      <c r="C79" s="16">
        <v>0</v>
      </c>
      <c r="D79" s="16">
        <v>0</v>
      </c>
      <c r="E79" s="16">
        <v>0</v>
      </c>
      <c r="F79" s="16">
        <v>0</v>
      </c>
      <c r="G79" s="16">
        <v>0</v>
      </c>
      <c r="H79" s="16">
        <v>0</v>
      </c>
      <c r="I79" s="16">
        <v>0</v>
      </c>
      <c r="J79" s="16">
        <v>0</v>
      </c>
    </row>
    <row r="81" spans="1:10" ht="21.95" customHeight="1">
      <c r="A81" s="65" t="s">
        <v>1875</v>
      </c>
      <c r="B81" s="66"/>
      <c r="C81" s="66"/>
      <c r="D81" s="66"/>
      <c r="E81" s="66"/>
      <c r="F81" s="66"/>
      <c r="G81" s="66"/>
      <c r="H81" s="66"/>
      <c r="I81" s="66"/>
      <c r="J81" s="66"/>
    </row>
    <row r="82" spans="1:10" ht="20.100000000000001" customHeight="1">
      <c r="A82" s="11" t="s">
        <v>1844</v>
      </c>
      <c r="B82" s="11" t="s">
        <v>1450</v>
      </c>
      <c r="C82" s="11" t="s">
        <v>1835</v>
      </c>
      <c r="D82" s="11" t="s">
        <v>1845</v>
      </c>
      <c r="E82" s="11" t="s">
        <v>1846</v>
      </c>
      <c r="F82" s="11" t="s">
        <v>1847</v>
      </c>
      <c r="G82" s="11" t="s">
        <v>1848</v>
      </c>
      <c r="H82" s="11" t="s">
        <v>1849</v>
      </c>
      <c r="I82" s="11" t="s">
        <v>1850</v>
      </c>
      <c r="J82" s="11" t="s">
        <v>1851</v>
      </c>
    </row>
    <row r="83" spans="1:10">
      <c r="A83" s="12" t="s">
        <v>1852</v>
      </c>
      <c r="B83" s="13" t="s">
        <v>1876</v>
      </c>
      <c r="C83" s="12">
        <v>0</v>
      </c>
      <c r="D83" s="12">
        <v>0</v>
      </c>
      <c r="E83" s="12">
        <v>0</v>
      </c>
      <c r="F83" s="12">
        <v>0</v>
      </c>
      <c r="G83" s="12">
        <v>0</v>
      </c>
      <c r="H83" s="12">
        <v>0</v>
      </c>
      <c r="I83" s="12">
        <v>0</v>
      </c>
      <c r="J83" s="12">
        <v>0</v>
      </c>
    </row>
    <row r="84" spans="1:10">
      <c r="A84" s="14" t="s">
        <v>1853</v>
      </c>
      <c r="B84" s="15" t="s">
        <v>1877</v>
      </c>
      <c r="C84" s="14">
        <v>0</v>
      </c>
      <c r="D84" s="14">
        <v>0</v>
      </c>
      <c r="E84" s="14">
        <v>0</v>
      </c>
      <c r="F84" s="14">
        <v>0</v>
      </c>
      <c r="G84" s="14">
        <v>0</v>
      </c>
      <c r="H84" s="14">
        <v>0</v>
      </c>
      <c r="I84" s="14">
        <v>0</v>
      </c>
      <c r="J84" s="14">
        <v>0</v>
      </c>
    </row>
    <row r="85" spans="1:10">
      <c r="A85" s="9" t="s">
        <v>1854</v>
      </c>
      <c r="B85" s="10" t="s">
        <v>1866</v>
      </c>
      <c r="C85" s="9">
        <v>0</v>
      </c>
      <c r="D85" s="9">
        <v>0</v>
      </c>
      <c r="E85" s="9">
        <v>0</v>
      </c>
      <c r="F85" s="9">
        <v>0</v>
      </c>
      <c r="G85" s="9">
        <v>0</v>
      </c>
      <c r="H85" s="9">
        <v>0</v>
      </c>
      <c r="I85" s="9">
        <v>0</v>
      </c>
      <c r="J85" s="9">
        <v>0</v>
      </c>
    </row>
    <row r="86" spans="1:10">
      <c r="A86" s="9" t="s">
        <v>1855</v>
      </c>
      <c r="B86" s="10" t="s">
        <v>1867</v>
      </c>
      <c r="C86" s="9">
        <v>0</v>
      </c>
      <c r="D86" s="9">
        <v>0</v>
      </c>
      <c r="E86" s="9">
        <v>0</v>
      </c>
      <c r="F86" s="9">
        <v>0</v>
      </c>
      <c r="G86" s="9">
        <v>0</v>
      </c>
      <c r="H86" s="9">
        <v>0</v>
      </c>
      <c r="I86" s="9">
        <v>0</v>
      </c>
      <c r="J86" s="9">
        <v>0</v>
      </c>
    </row>
    <row r="87" spans="1:10">
      <c r="A87" s="9" t="s">
        <v>1856</v>
      </c>
      <c r="B87" s="10" t="s">
        <v>1870</v>
      </c>
      <c r="C87" s="9">
        <v>0</v>
      </c>
      <c r="D87" s="9">
        <v>0</v>
      </c>
      <c r="E87" s="9">
        <v>0</v>
      </c>
      <c r="F87" s="9">
        <v>0</v>
      </c>
      <c r="G87" s="9">
        <v>0</v>
      </c>
      <c r="H87" s="9">
        <v>0</v>
      </c>
      <c r="I87" s="9">
        <v>0</v>
      </c>
      <c r="J87" s="9">
        <v>0</v>
      </c>
    </row>
    <row r="88" spans="1:10">
      <c r="A88" s="16" t="s">
        <v>1863</v>
      </c>
      <c r="B88" s="17" t="s">
        <v>1871</v>
      </c>
      <c r="C88" s="16">
        <v>0</v>
      </c>
      <c r="D88" s="16">
        <v>0</v>
      </c>
      <c r="E88" s="16">
        <v>0</v>
      </c>
      <c r="F88" s="16">
        <v>0</v>
      </c>
      <c r="G88" s="16">
        <v>0</v>
      </c>
      <c r="H88" s="16">
        <v>0</v>
      </c>
      <c r="I88" s="16">
        <v>0</v>
      </c>
      <c r="J88" s="16">
        <v>0</v>
      </c>
    </row>
  </sheetData>
  <mergeCells count="11">
    <mergeCell ref="A1:J1"/>
    <mergeCell ref="A32:J32"/>
    <mergeCell ref="A40:J40"/>
    <mergeCell ref="A56:J56"/>
    <mergeCell ref="A9:J9"/>
    <mergeCell ref="A17:J17"/>
    <mergeCell ref="A81:J81"/>
    <mergeCell ref="A24:J24"/>
    <mergeCell ref="A72:J72"/>
    <mergeCell ref="A63:J63"/>
    <mergeCell ref="A47:J47"/>
  </mergeCells>
  <pageMargins left="0.59055118110236215" right="0.59055118110236215" top="0.59055118110236215" bottom="0.59055118110236215" header="0.5" footer="0.5"/>
  <pageSetup paperSize="9" fitToHeight="0" orientation="portrait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5"/>
  <dimension ref="A1:E1"/>
  <sheetViews>
    <sheetView workbookViewId="0">
      <selection activeCell="A2" sqref="A2"/>
    </sheetView>
  </sheetViews>
  <sheetFormatPr baseColWidth="10" defaultColWidth="9.140625" defaultRowHeight="15"/>
  <cols>
    <col min="1" max="1" width="51.85546875" bestFit="1" customWidth="1"/>
    <col min="2" max="2" width="60.85546875" bestFit="1" customWidth="1"/>
    <col min="3" max="3" width="255.7109375" bestFit="1" customWidth="1"/>
    <col min="4" max="4" width="44.28515625" bestFit="1" customWidth="1"/>
    <col min="5" max="5" width="46.5703125" bestFit="1" customWidth="1"/>
  </cols>
  <sheetData>
    <row r="1" spans="1:5" ht="24.95" customHeight="1">
      <c r="A1" s="18" t="s">
        <v>1878</v>
      </c>
      <c r="B1" s="18" t="s">
        <v>1879</v>
      </c>
      <c r="C1" s="18" t="s">
        <v>1880</v>
      </c>
      <c r="D1" s="18" t="s">
        <v>1881</v>
      </c>
      <c r="E1" s="18" t="s">
        <v>1882</v>
      </c>
    </row>
  </sheetData>
  <pageMargins left="0.75" right="0.75" top="1" bottom="1" header="0.5" footer="0.5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"/>
  <dimension ref="A1:F116"/>
  <sheetViews>
    <sheetView topLeftCell="A47" workbookViewId="0">
      <selection activeCell="B71" sqref="B71:B116"/>
    </sheetView>
  </sheetViews>
  <sheetFormatPr baseColWidth="10" defaultColWidth="9.140625" defaultRowHeight="15"/>
  <cols>
    <col min="1" max="1" width="38" customWidth="1"/>
    <col min="2" max="2" width="85" customWidth="1"/>
    <col min="3" max="6" width="12" customWidth="1"/>
  </cols>
  <sheetData>
    <row r="1" spans="1:6" ht="35.1" customHeight="1">
      <c r="A1" s="67" t="s">
        <v>1883</v>
      </c>
      <c r="B1" s="66"/>
      <c r="C1" s="66"/>
      <c r="D1" s="66"/>
      <c r="E1" s="66"/>
      <c r="F1" s="66"/>
    </row>
    <row r="3" spans="1:6" ht="16.899999999999999" customHeight="1">
      <c r="A3" s="1" t="s">
        <v>1884</v>
      </c>
      <c r="B3" s="1" t="s">
        <v>1885</v>
      </c>
    </row>
    <row r="4" spans="1:6" ht="15" customHeight="1">
      <c r="A4" s="2" t="s">
        <v>1886</v>
      </c>
      <c r="B4" s="2" t="s">
        <v>1887</v>
      </c>
    </row>
    <row r="5" spans="1:6" ht="15" customHeight="1">
      <c r="A5" s="2" t="s">
        <v>1888</v>
      </c>
      <c r="B5" s="2" t="s">
        <v>1889</v>
      </c>
    </row>
    <row r="6" spans="1:6" ht="15" customHeight="1">
      <c r="A6" s="2" t="s">
        <v>1890</v>
      </c>
      <c r="B6" s="2" t="s">
        <v>1891</v>
      </c>
    </row>
    <row r="7" spans="1:6" ht="15" customHeight="1">
      <c r="A7" s="2" t="s">
        <v>1892</v>
      </c>
      <c r="B7" s="2" t="s">
        <v>1893</v>
      </c>
    </row>
    <row r="8" spans="1:6" ht="15" customHeight="1">
      <c r="A8" s="2" t="s">
        <v>1894</v>
      </c>
      <c r="B8" s="2" t="s">
        <v>1895</v>
      </c>
    </row>
    <row r="9" spans="1:6" ht="15" customHeight="1">
      <c r="A9" s="2" t="s">
        <v>1896</v>
      </c>
      <c r="B9" s="2" t="s">
        <v>1897</v>
      </c>
    </row>
    <row r="10" spans="1:6" ht="15" customHeight="1">
      <c r="A10" s="2" t="s">
        <v>1898</v>
      </c>
      <c r="B10" s="2" t="s">
        <v>1899</v>
      </c>
    </row>
    <row r="11" spans="1:6" ht="15" customHeight="1">
      <c r="A11" s="2" t="s">
        <v>1900</v>
      </c>
      <c r="B11" s="2" t="s">
        <v>1901</v>
      </c>
    </row>
    <row r="12" spans="1:6" ht="15" customHeight="1">
      <c r="A12" s="2" t="s">
        <v>1902</v>
      </c>
      <c r="B12" s="2" t="s">
        <v>1903</v>
      </c>
    </row>
    <row r="13" spans="1:6" ht="15" customHeight="1">
      <c r="A13" s="2"/>
      <c r="B13" s="2"/>
    </row>
    <row r="14" spans="1:6" ht="33.6" customHeight="1">
      <c r="A14" s="1" t="s">
        <v>1904</v>
      </c>
      <c r="B14" s="1" t="s">
        <v>1905</v>
      </c>
    </row>
    <row r="15" spans="1:6" ht="15" customHeight="1">
      <c r="A15" s="2"/>
      <c r="B15" s="2" t="s">
        <v>1906</v>
      </c>
    </row>
    <row r="16" spans="1:6" ht="15" customHeight="1">
      <c r="A16" s="2"/>
      <c r="B16" s="2" t="s">
        <v>1907</v>
      </c>
    </row>
    <row r="17" spans="1:2" ht="15" customHeight="1">
      <c r="A17" s="2"/>
      <c r="B17" s="2" t="s">
        <v>1908</v>
      </c>
    </row>
    <row r="18" spans="1:2" ht="15" customHeight="1">
      <c r="A18" s="2"/>
      <c r="B18" s="2"/>
    </row>
    <row r="19" spans="1:2" ht="33.6" customHeight="1">
      <c r="A19" s="1" t="s">
        <v>1909</v>
      </c>
      <c r="B19" s="1" t="s">
        <v>1910</v>
      </c>
    </row>
    <row r="20" spans="1:2" ht="15" customHeight="1">
      <c r="A20" s="2"/>
      <c r="B20" s="2" t="s">
        <v>1911</v>
      </c>
    </row>
    <row r="21" spans="1:2" ht="15" customHeight="1">
      <c r="A21" s="2"/>
      <c r="B21" s="2" t="s">
        <v>1912</v>
      </c>
    </row>
    <row r="22" spans="1:2" ht="15" customHeight="1">
      <c r="A22" s="2"/>
      <c r="B22" s="2" t="s">
        <v>1913</v>
      </c>
    </row>
    <row r="23" spans="1:2" ht="15" customHeight="1">
      <c r="A23" s="2"/>
      <c r="B23" s="2" t="s">
        <v>1914</v>
      </c>
    </row>
    <row r="24" spans="1:2" ht="15" customHeight="1">
      <c r="A24" s="2"/>
      <c r="B24" s="2" t="s">
        <v>1915</v>
      </c>
    </row>
    <row r="28" spans="1:2">
      <c r="B28" s="37" t="s">
        <v>1916</v>
      </c>
    </row>
    <row r="31" spans="1:2">
      <c r="B31" s="38" t="s">
        <v>1917</v>
      </c>
    </row>
    <row r="32" spans="1:2">
      <c r="B32" s="37" t="s">
        <v>1918</v>
      </c>
    </row>
    <row r="33" spans="2:2">
      <c r="B33" s="39"/>
    </row>
    <row r="34" spans="2:2">
      <c r="B34" s="40" t="s">
        <v>1919</v>
      </c>
    </row>
    <row r="35" spans="2:2">
      <c r="B35" s="41" t="s">
        <v>1920</v>
      </c>
    </row>
    <row r="36" spans="2:2">
      <c r="B36" s="41" t="s">
        <v>1921</v>
      </c>
    </row>
    <row r="37" spans="2:2">
      <c r="B37" s="41" t="s">
        <v>1922</v>
      </c>
    </row>
    <row r="38" spans="2:2">
      <c r="B38" s="41" t="s">
        <v>1923</v>
      </c>
    </row>
    <row r="39" spans="2:2">
      <c r="B39" s="41" t="s">
        <v>1924</v>
      </c>
    </row>
    <row r="40" spans="2:2">
      <c r="B40" s="40" t="s">
        <v>1925</v>
      </c>
    </row>
    <row r="41" spans="2:2">
      <c r="B41" s="41" t="s">
        <v>1926</v>
      </c>
    </row>
    <row r="45" spans="2:2">
      <c r="B45" s="38" t="s">
        <v>1927</v>
      </c>
    </row>
    <row r="46" spans="2:2">
      <c r="B46" s="37" t="s">
        <v>1928</v>
      </c>
    </row>
    <row r="47" spans="2:2">
      <c r="B47" s="39"/>
    </row>
    <row r="48" spans="2:2">
      <c r="B48" s="40" t="s">
        <v>1929</v>
      </c>
    </row>
    <row r="49" spans="2:2">
      <c r="B49" s="41" t="s">
        <v>1930</v>
      </c>
    </row>
    <row r="50" spans="2:2">
      <c r="B50" s="41" t="s">
        <v>1931</v>
      </c>
    </row>
    <row r="51" spans="2:2">
      <c r="B51" s="41" t="s">
        <v>1932</v>
      </c>
    </row>
    <row r="52" spans="2:2">
      <c r="B52" s="41" t="s">
        <v>1933</v>
      </c>
    </row>
    <row r="56" spans="2:2">
      <c r="B56" s="38" t="s">
        <v>1934</v>
      </c>
    </row>
    <row r="57" spans="2:2">
      <c r="B57" s="37" t="s">
        <v>1935</v>
      </c>
    </row>
    <row r="58" spans="2:2">
      <c r="B58" s="39"/>
    </row>
    <row r="59" spans="2:2">
      <c r="B59" s="40" t="s">
        <v>1929</v>
      </c>
    </row>
    <row r="60" spans="2:2">
      <c r="B60" s="41" t="s">
        <v>1936</v>
      </c>
    </row>
    <row r="61" spans="2:2">
      <c r="B61" s="41" t="s">
        <v>1937</v>
      </c>
    </row>
    <row r="65" spans="2:2">
      <c r="B65" s="38" t="s">
        <v>1938</v>
      </c>
    </row>
    <row r="66" spans="2:2">
      <c r="B66" s="37" t="s">
        <v>1939</v>
      </c>
    </row>
    <row r="67" spans="2:2">
      <c r="B67" s="37" t="s">
        <v>1940</v>
      </c>
    </row>
    <row r="71" spans="2:2">
      <c r="B71" s="37" t="s">
        <v>1941</v>
      </c>
    </row>
    <row r="74" spans="2:2">
      <c r="B74" s="42" t="s">
        <v>1942</v>
      </c>
    </row>
    <row r="75" spans="2:2">
      <c r="B75" s="39"/>
    </row>
    <row r="76" spans="2:2">
      <c r="B76" s="43" t="s">
        <v>1943</v>
      </c>
    </row>
    <row r="77" spans="2:2">
      <c r="B77" s="43" t="s">
        <v>1944</v>
      </c>
    </row>
    <row r="78" spans="2:2">
      <c r="B78" s="43" t="s">
        <v>1945</v>
      </c>
    </row>
    <row r="79" spans="2:2">
      <c r="B79" s="44" t="s">
        <v>1946</v>
      </c>
    </row>
    <row r="80" spans="2:2">
      <c r="B80" s="44" t="s">
        <v>1947</v>
      </c>
    </row>
    <row r="81" spans="2:2">
      <c r="B81" s="44" t="s">
        <v>1948</v>
      </c>
    </row>
    <row r="85" spans="2:2">
      <c r="B85" s="42" t="s">
        <v>1949</v>
      </c>
    </row>
    <row r="86" spans="2:2">
      <c r="B86" s="39"/>
    </row>
    <row r="87" spans="2:2">
      <c r="B87" s="43" t="s">
        <v>1950</v>
      </c>
    </row>
    <row r="88" spans="2:2">
      <c r="B88" s="43" t="s">
        <v>1951</v>
      </c>
    </row>
    <row r="89" spans="2:2">
      <c r="B89" s="43" t="s">
        <v>1952</v>
      </c>
    </row>
    <row r="93" spans="2:2">
      <c r="B93" s="42" t="s">
        <v>1953</v>
      </c>
    </row>
    <row r="94" spans="2:2">
      <c r="B94" s="39"/>
    </row>
    <row r="95" spans="2:2">
      <c r="B95" s="43" t="s">
        <v>1954</v>
      </c>
    </row>
    <row r="96" spans="2:2">
      <c r="B96" s="43" t="s">
        <v>1955</v>
      </c>
    </row>
    <row r="97" spans="2:2">
      <c r="B97" s="43" t="s">
        <v>1956</v>
      </c>
    </row>
    <row r="98" spans="2:2">
      <c r="B98" s="43" t="s">
        <v>1957</v>
      </c>
    </row>
    <row r="99" spans="2:2">
      <c r="B99" s="45" t="s">
        <v>1958</v>
      </c>
    </row>
    <row r="100" spans="2:2">
      <c r="B100" s="45" t="s">
        <v>1959</v>
      </c>
    </row>
    <row r="101" spans="2:2">
      <c r="B101" s="45" t="s">
        <v>1960</v>
      </c>
    </row>
    <row r="102" spans="2:2">
      <c r="B102" s="43" t="s">
        <v>1961</v>
      </c>
    </row>
    <row r="106" spans="2:2">
      <c r="B106" s="42" t="s">
        <v>1962</v>
      </c>
    </row>
    <row r="107" spans="2:2">
      <c r="B107" s="39"/>
    </row>
    <row r="108" spans="2:2">
      <c r="B108" s="43" t="s">
        <v>1963</v>
      </c>
    </row>
    <row r="109" spans="2:2">
      <c r="B109" s="46" t="s">
        <v>1964</v>
      </c>
    </row>
    <row r="110" spans="2:2">
      <c r="B110" s="41" t="s">
        <v>1965</v>
      </c>
    </row>
    <row r="111" spans="2:2">
      <c r="B111" s="41" t="s">
        <v>1966</v>
      </c>
    </row>
    <row r="115" spans="2:2">
      <c r="B115" s="42" t="s">
        <v>1967</v>
      </c>
    </row>
    <row r="116" spans="2:2">
      <c r="B116" s="37" t="s">
        <v>1968</v>
      </c>
    </row>
  </sheetData>
  <mergeCells count="1">
    <mergeCell ref="A1:F1"/>
  </mergeCells>
  <pageMargins left="0.75" right="0.75" top="1" bottom="1" header="0.5" footer="0.5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6"/>
  <dimension ref="A1:C32"/>
  <sheetViews>
    <sheetView workbookViewId="0">
      <selection activeCell="V11" sqref="V11"/>
    </sheetView>
  </sheetViews>
  <sheetFormatPr baseColWidth="10" defaultColWidth="9.140625" defaultRowHeight="15"/>
  <cols>
    <col min="1" max="1" width="15" customWidth="1"/>
    <col min="3" max="3" width="19.7109375" customWidth="1"/>
  </cols>
  <sheetData>
    <row r="1" spans="1:3" ht="15" customHeight="1">
      <c r="A1" s="3" t="s">
        <v>0</v>
      </c>
    </row>
    <row r="2" spans="1:3">
      <c r="A2" s="19">
        <v>46276</v>
      </c>
      <c r="C2" s="19"/>
    </row>
    <row r="3" spans="1:3">
      <c r="A3" s="19">
        <v>46307</v>
      </c>
      <c r="C3" s="19"/>
    </row>
    <row r="4" spans="1:3">
      <c r="A4" s="19">
        <v>46364</v>
      </c>
      <c r="C4" s="19"/>
    </row>
    <row r="5" spans="1:3">
      <c r="A5" s="19">
        <v>46379</v>
      </c>
      <c r="C5" s="19"/>
    </row>
    <row r="6" spans="1:3">
      <c r="A6" s="19">
        <f t="shared" ref="A6:A19" si="0">A5+1</f>
        <v>46380</v>
      </c>
      <c r="C6" s="19"/>
    </row>
    <row r="7" spans="1:3">
      <c r="A7" s="19">
        <f t="shared" si="0"/>
        <v>46381</v>
      </c>
      <c r="C7" s="19"/>
    </row>
    <row r="8" spans="1:3">
      <c r="A8" s="19">
        <f t="shared" si="0"/>
        <v>46382</v>
      </c>
      <c r="C8" s="19"/>
    </row>
    <row r="9" spans="1:3">
      <c r="A9" s="19">
        <f t="shared" si="0"/>
        <v>46383</v>
      </c>
      <c r="C9" s="19"/>
    </row>
    <row r="10" spans="1:3">
      <c r="A10" s="19">
        <f t="shared" si="0"/>
        <v>46384</v>
      </c>
      <c r="C10" s="19"/>
    </row>
    <row r="11" spans="1:3">
      <c r="A11" s="19">
        <f t="shared" si="0"/>
        <v>46385</v>
      </c>
      <c r="C11" s="19"/>
    </row>
    <row r="12" spans="1:3">
      <c r="A12" s="19">
        <f t="shared" si="0"/>
        <v>46386</v>
      </c>
      <c r="C12" s="19"/>
    </row>
    <row r="13" spans="1:3">
      <c r="A13" s="19">
        <f t="shared" si="0"/>
        <v>46387</v>
      </c>
      <c r="C13" s="19"/>
    </row>
    <row r="14" spans="1:3">
      <c r="A14" s="19">
        <f t="shared" si="0"/>
        <v>46388</v>
      </c>
      <c r="C14" s="19"/>
    </row>
    <row r="15" spans="1:3">
      <c r="A15" s="19">
        <f t="shared" si="0"/>
        <v>46389</v>
      </c>
      <c r="C15" s="19"/>
    </row>
    <row r="16" spans="1:3">
      <c r="A16" s="19">
        <f t="shared" si="0"/>
        <v>46390</v>
      </c>
      <c r="C16" s="19"/>
    </row>
    <row r="17" spans="1:3">
      <c r="A17" s="19">
        <f t="shared" si="0"/>
        <v>46391</v>
      </c>
      <c r="C17" s="19"/>
    </row>
    <row r="18" spans="1:3">
      <c r="A18" s="19">
        <f t="shared" si="0"/>
        <v>46392</v>
      </c>
      <c r="C18" s="19"/>
    </row>
    <row r="19" spans="1:3">
      <c r="A19" s="19">
        <f t="shared" si="0"/>
        <v>46393</v>
      </c>
      <c r="C19" s="19"/>
    </row>
    <row r="20" spans="1:3">
      <c r="A20" s="19">
        <v>46466</v>
      </c>
      <c r="C20" s="19"/>
    </row>
    <row r="21" spans="1:3">
      <c r="A21" s="19">
        <f t="shared" ref="A21:A29" si="1">A20+1</f>
        <v>46467</v>
      </c>
      <c r="C21" s="19"/>
    </row>
    <row r="22" spans="1:3">
      <c r="A22" s="19">
        <f t="shared" si="1"/>
        <v>46468</v>
      </c>
      <c r="C22" s="19"/>
    </row>
    <row r="23" spans="1:3">
      <c r="A23" s="19">
        <f t="shared" si="1"/>
        <v>46469</v>
      </c>
      <c r="C23" s="19"/>
    </row>
    <row r="24" spans="1:3">
      <c r="A24" s="19">
        <f t="shared" si="1"/>
        <v>46470</v>
      </c>
      <c r="C24" s="19"/>
    </row>
    <row r="25" spans="1:3">
      <c r="A25" s="19">
        <f t="shared" si="1"/>
        <v>46471</v>
      </c>
      <c r="C25" s="19"/>
    </row>
    <row r="26" spans="1:3">
      <c r="A26" s="19">
        <f t="shared" si="1"/>
        <v>46472</v>
      </c>
      <c r="C26" s="19"/>
    </row>
    <row r="27" spans="1:3">
      <c r="A27" s="19">
        <f t="shared" si="1"/>
        <v>46473</v>
      </c>
      <c r="C27" s="19"/>
    </row>
    <row r="28" spans="1:3">
      <c r="A28" s="19">
        <f t="shared" si="1"/>
        <v>46474</v>
      </c>
      <c r="C28" s="19"/>
    </row>
    <row r="29" spans="1:3">
      <c r="A29" s="19">
        <f t="shared" si="1"/>
        <v>46475</v>
      </c>
      <c r="C29" s="19"/>
    </row>
    <row r="30" spans="1:3">
      <c r="A30" s="19">
        <v>46508</v>
      </c>
      <c r="C30" s="19"/>
    </row>
    <row r="31" spans="1:3">
      <c r="A31" s="19">
        <v>46524</v>
      </c>
      <c r="C31" s="19"/>
    </row>
    <row r="32" spans="1:3">
      <c r="A32" s="19">
        <v>46562</v>
      </c>
      <c r="C32" s="19"/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14</vt:i4>
      </vt:variant>
    </vt:vector>
  </HeadingPairs>
  <TitlesOfParts>
    <vt:vector size="14" baseType="lpstr">
      <vt:lpstr>Individuals</vt:lpstr>
      <vt:lpstr>Petició equips</vt:lpstr>
      <vt:lpstr>Sol·licitud individual</vt:lpstr>
      <vt:lpstr>Hoja1</vt:lpstr>
      <vt:lpstr>Consolidat</vt:lpstr>
      <vt:lpstr>Assistencies</vt:lpstr>
      <vt:lpstr>Equips</vt:lpstr>
      <vt:lpstr>Calendari</vt:lpstr>
      <vt:lpstr>FairPlay</vt:lpstr>
      <vt:lpstr>Golejadors</vt:lpstr>
      <vt:lpstr>Classificacio</vt:lpstr>
      <vt:lpstr>ResumCorreus</vt:lpstr>
      <vt:lpstr>Instruccions_VBA</vt:lpstr>
      <vt:lpstr>Festius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Carles Siso Pallas</cp:lastModifiedBy>
  <cp:lastPrinted>2026-11-01T08:01:30Z</cp:lastPrinted>
  <dcterms:created xsi:type="dcterms:W3CDTF">2026-10-22T17:23:25Z</dcterms:created>
  <dcterms:modified xsi:type="dcterms:W3CDTF">2026-11-01T08:30:26Z</dcterms:modified>
</cp:coreProperties>
</file>